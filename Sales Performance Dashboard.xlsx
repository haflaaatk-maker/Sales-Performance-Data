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527"/>
  <workbookPr defaultThemeVersion="124226"/>
  <mc:AlternateContent xmlns:mc="http://schemas.openxmlformats.org/markup-compatibility/2006">
    <mc:Choice Requires="x15">
      <x15ac:absPath xmlns:x15ac="http://schemas.microsoft.com/office/spreadsheetml/2010/11/ac" url="C:\Users\USER\Desktop\Hf\"/>
    </mc:Choice>
  </mc:AlternateContent>
  <xr:revisionPtr revIDLastSave="0" documentId="13_ncr:1_{6886DC56-A338-4CCB-8525-257955687E67}" xr6:coauthVersionLast="47" xr6:coauthVersionMax="47" xr10:uidLastSave="{00000000-0000-0000-0000-000000000000}"/>
  <bookViews>
    <workbookView xWindow="0" yWindow="0" windowWidth="20490" windowHeight="10920" firstSheet="2" activeTab="2" xr2:uid="{00000000-000D-0000-FFFF-FFFF00000000}"/>
  </bookViews>
  <sheets>
    <sheet name="Cleaned Data" sheetId="5" state="hidden" r:id="rId1"/>
    <sheet name="Pivot Table" sheetId="6" state="hidden" r:id="rId2"/>
    <sheet name="Dashboard" sheetId="7" r:id="rId3"/>
  </sheets>
  <definedNames>
    <definedName name="_xlcn.WorksheetConnection_CleanedDataA1P81" hidden="1">'Cleaned Data'!$A$1:$P$81</definedName>
    <definedName name="Slicer_Category">#N/A</definedName>
    <definedName name="Slicer_Order_Date__Month">#N/A</definedName>
    <definedName name="Slicer_Payment_Mode">#N/A</definedName>
    <definedName name="Slicer_Product">#N/A</definedName>
    <definedName name="Slicer_Region">#N/A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s>
  <extLst>
    <ext xmlns:x14="http://schemas.microsoft.com/office/spreadsheetml/2009/9/main" uri="{876F7934-8845-4945-9796-88D515C7AA90}">
      <x14:pivotCaches>
        <pivotCache cacheId="12" r:id="rId16"/>
      </x14:pivotCaches>
    </ext>
    <ext xmlns:x14="http://schemas.microsoft.com/office/spreadsheetml/2009/9/main" uri="{BBE1A952-AA13-448e-AADC-164F8A28A991}">
      <x14:slicerCaches>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Cleaned Data!$A$1:$P$81"/>
        </x15:modelTables>
        <x15:extLst>
          <ext xmlns:x16="http://schemas.microsoft.com/office/spreadsheetml/2014/11/main" uri="{9835A34E-60A6-4A7C-AAB8-D5F71C897F49}">
            <x16:modelTimeGroupings>
              <x16:modelTimeGrouping tableName="Range"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3" i="5" l="1"/>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2" i="5"/>
  <c r="H68" i="5"/>
  <c r="B4" i="6"/>
  <c r="A16" i="6"/>
  <c r="B13" i="6"/>
  <c r="B10" i="6"/>
  <c r="B7" i="6"/>
  <c r="B16"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EA3830-A384-44CA-9BB4-961147A89D6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3C3F2AC-FCFC-4A33-B68C-2B7FF8CBB75F}" name="WorksheetConnection_Cleaned Data!$A$1:$P$81" type="102" refreshedVersion="7" minRefreshableVersion="5">
    <extLst>
      <ext xmlns:x15="http://schemas.microsoft.com/office/spreadsheetml/2010/11/main" uri="{DE250136-89BD-433C-8126-D09CA5730AF9}">
        <x15:connection id="Range" autoDelete="1">
          <x15:rangePr sourceName="_xlcn.WorksheetConnection_CleanedDataA1P81"/>
        </x15:connection>
      </ext>
    </extLst>
  </connection>
</connections>
</file>

<file path=xl/sharedStrings.xml><?xml version="1.0" encoding="utf-8"?>
<sst xmlns="http://schemas.openxmlformats.org/spreadsheetml/2006/main" count="569" uniqueCount="211">
  <si>
    <t>Order_ID</t>
  </si>
  <si>
    <t>Order_Date</t>
  </si>
  <si>
    <t>Customer</t>
  </si>
  <si>
    <t>Product</t>
  </si>
  <si>
    <t>Category</t>
  </si>
  <si>
    <t>Region</t>
  </si>
  <si>
    <t>Quantity</t>
  </si>
  <si>
    <t>Unit_Price</t>
  </si>
  <si>
    <t>Discount_%</t>
  </si>
  <si>
    <t>Payment_Mode</t>
  </si>
  <si>
    <t>Sales</t>
  </si>
  <si>
    <t>Cost</t>
  </si>
  <si>
    <t>Profit</t>
  </si>
  <si>
    <t>ORD10001</t>
  </si>
  <si>
    <t>ORD10002</t>
  </si>
  <si>
    <t>ORD10003</t>
  </si>
  <si>
    <t>ORD10004</t>
  </si>
  <si>
    <t>ORD10005</t>
  </si>
  <si>
    <t>ORD10006</t>
  </si>
  <si>
    <t>ORD10007</t>
  </si>
  <si>
    <t>ORD10008</t>
  </si>
  <si>
    <t>ORD10009</t>
  </si>
  <si>
    <t>ORD10010</t>
  </si>
  <si>
    <t>ORD10011</t>
  </si>
  <si>
    <t>ORD10012</t>
  </si>
  <si>
    <t>ORD10013</t>
  </si>
  <si>
    <t>ORD10014</t>
  </si>
  <si>
    <t>ORD10015</t>
  </si>
  <si>
    <t>ORD10016</t>
  </si>
  <si>
    <t>ORD10017</t>
  </si>
  <si>
    <t>ORD10018</t>
  </si>
  <si>
    <t>ORD10019</t>
  </si>
  <si>
    <t>ORD10020</t>
  </si>
  <si>
    <t>ORD10021</t>
  </si>
  <si>
    <t>ORD10022</t>
  </si>
  <si>
    <t>ORD10023</t>
  </si>
  <si>
    <t>ORD10024</t>
  </si>
  <si>
    <t>ORD10025</t>
  </si>
  <si>
    <t>ORD10026</t>
  </si>
  <si>
    <t>ORD10027</t>
  </si>
  <si>
    <t>ORD10028</t>
  </si>
  <si>
    <t>ORD10029</t>
  </si>
  <si>
    <t>ORD10030</t>
  </si>
  <si>
    <t>ORD10031</t>
  </si>
  <si>
    <t>ORD10032</t>
  </si>
  <si>
    <t>ORD10033</t>
  </si>
  <si>
    <t>ORD10034</t>
  </si>
  <si>
    <t>ORD10035</t>
  </si>
  <si>
    <t>ORD10036</t>
  </si>
  <si>
    <t>ORD10037</t>
  </si>
  <si>
    <t>ORD10038</t>
  </si>
  <si>
    <t>ORD10039</t>
  </si>
  <si>
    <t>ORD10040</t>
  </si>
  <si>
    <t>ORD10041</t>
  </si>
  <si>
    <t>ORD10042</t>
  </si>
  <si>
    <t>ORD10043</t>
  </si>
  <si>
    <t>ORD10044</t>
  </si>
  <si>
    <t>ORD10045</t>
  </si>
  <si>
    <t>ORD10046</t>
  </si>
  <si>
    <t>ORD10047</t>
  </si>
  <si>
    <t>ORD10048</t>
  </si>
  <si>
    <t>ORD10049</t>
  </si>
  <si>
    <t>ORD10050</t>
  </si>
  <si>
    <t>ORD10051</t>
  </si>
  <si>
    <t>ORD10052</t>
  </si>
  <si>
    <t>ORD10053</t>
  </si>
  <si>
    <t>ORD10054</t>
  </si>
  <si>
    <t>ORD10055</t>
  </si>
  <si>
    <t>ORD10056</t>
  </si>
  <si>
    <t>ORD10057</t>
  </si>
  <si>
    <t>ORD10058</t>
  </si>
  <si>
    <t>ORD10059</t>
  </si>
  <si>
    <t>ORD10060</t>
  </si>
  <si>
    <t>ORD10061</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</si>
  <si>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</si>
  <si>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</si>
  <si>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</si>
  <si>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</si>
  <si>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</si>
  <si>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</si>
  <si>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</si>
  <si>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</si>
  <si>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</si>
  <si>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</si>
  <si>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</si>
  <si>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</si>
  <si>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</si>
  <si>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</si>
  <si>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</si>
  <si>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</si>
  <si>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</si>
  <si>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</si>
  <si>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</si>
  <si>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C1001</t>
  </si>
  <si>
    <t>C1002</t>
  </si>
  <si>
    <t>C1003</t>
  </si>
  <si>
    <t>C1004</t>
  </si>
  <si>
    <t>C1005</t>
  </si>
  <si>
    <t>C1006</t>
  </si>
  <si>
    <t>C1007</t>
  </si>
  <si>
    <t>C1008</t>
  </si>
  <si>
    <t>C1009</t>
  </si>
  <si>
    <t>C1010</t>
  </si>
  <si>
    <t>C1011</t>
  </si>
  <si>
    <t>C1012</t>
  </si>
  <si>
    <t>C1013</t>
  </si>
  <si>
    <t>C1014</t>
  </si>
  <si>
    <t>C1015</t>
  </si>
  <si>
    <t>C1017</t>
  </si>
  <si>
    <t>C1018</t>
  </si>
  <si>
    <t>C1019</t>
  </si>
  <si>
    <t>C1020</t>
  </si>
  <si>
    <t>C1021</t>
  </si>
  <si>
    <t>C1022</t>
  </si>
  <si>
    <t>C1023</t>
  </si>
  <si>
    <t>C1024</t>
  </si>
  <si>
    <t>C1025</t>
  </si>
  <si>
    <t>C1026</t>
  </si>
  <si>
    <t>C1027</t>
  </si>
  <si>
    <t>C1028</t>
  </si>
  <si>
    <t>C1029</t>
  </si>
  <si>
    <t>C1030</t>
  </si>
  <si>
    <t>C1031</t>
  </si>
  <si>
    <t>C1032</t>
  </si>
  <si>
    <t>C1033</t>
  </si>
  <si>
    <t>C1034</t>
  </si>
  <si>
    <t>C1035</t>
  </si>
  <si>
    <t>C1036</t>
  </si>
  <si>
    <t>C1037</t>
  </si>
  <si>
    <t>C1038</t>
  </si>
  <si>
    <t>C1039</t>
  </si>
  <si>
    <t>C1040</t>
  </si>
  <si>
    <t>C1041</t>
  </si>
  <si>
    <t>C1042</t>
  </si>
  <si>
    <t>C1043</t>
  </si>
  <si>
    <t>C1044</t>
  </si>
  <si>
    <t>C1045</t>
  </si>
  <si>
    <t>C1046</t>
  </si>
  <si>
    <t>C1047</t>
  </si>
  <si>
    <t>C1048</t>
  </si>
  <si>
    <t>C1049</t>
  </si>
  <si>
    <t>C1050</t>
  </si>
  <si>
    <t>C1051</t>
  </si>
  <si>
    <t>C1052</t>
  </si>
  <si>
    <t>C1053</t>
  </si>
  <si>
    <t>C1054</t>
  </si>
  <si>
    <t>C1055</t>
  </si>
  <si>
    <t>C1056</t>
  </si>
  <si>
    <t>C1057</t>
  </si>
  <si>
    <t>C1058</t>
  </si>
  <si>
    <t>C1059</t>
  </si>
  <si>
    <t>C1060</t>
  </si>
  <si>
    <t>C1061</t>
  </si>
  <si>
    <t>C1062</t>
  </si>
  <si>
    <t>C1063</t>
  </si>
  <si>
    <t>C1064</t>
  </si>
  <si>
    <t>C1065</t>
  </si>
  <si>
    <t>C1066</t>
  </si>
  <si>
    <t>C1067</t>
  </si>
  <si>
    <t>C1068</t>
  </si>
  <si>
    <t>C1069</t>
  </si>
  <si>
    <t>C1070</t>
  </si>
  <si>
    <t>C1072</t>
  </si>
  <si>
    <t>C1073</t>
  </si>
  <si>
    <t>C1074</t>
  </si>
  <si>
    <t>C1075</t>
  </si>
  <si>
    <t>C1076</t>
  </si>
  <si>
    <t>C1077</t>
  </si>
  <si>
    <t>C1078</t>
  </si>
  <si>
    <t>C1079</t>
  </si>
  <si>
    <t>C1080</t>
  </si>
  <si>
    <t>Monitor</t>
  </si>
  <si>
    <t>Headset</t>
  </si>
  <si>
    <t>Keyboard</t>
  </si>
  <si>
    <t>Mouse</t>
  </si>
  <si>
    <t>Laptop</t>
  </si>
  <si>
    <t xml:space="preserve">Mouse </t>
  </si>
  <si>
    <t>Electronics</t>
  </si>
  <si>
    <t>Accessories</t>
  </si>
  <si>
    <t>North</t>
  </si>
  <si>
    <t>East</t>
  </si>
  <si>
    <t>West</t>
  </si>
  <si>
    <t>South</t>
  </si>
  <si>
    <t>Cash</t>
  </si>
  <si>
    <t>UPI</t>
  </si>
  <si>
    <t>Net Banking</t>
  </si>
  <si>
    <t>Card</t>
  </si>
  <si>
    <t xml:space="preserve">Card </t>
  </si>
  <si>
    <t>Month</t>
  </si>
  <si>
    <t>Month_No</t>
  </si>
  <si>
    <t>Unknown</t>
  </si>
  <si>
    <t>Profit Margin %</t>
  </si>
  <si>
    <t>C1016</t>
  </si>
  <si>
    <t>Sum of Sales</t>
  </si>
  <si>
    <t>Sum of Profit</t>
  </si>
  <si>
    <t>Row Labels</t>
  </si>
  <si>
    <t>Grand Total</t>
  </si>
  <si>
    <t>Count of Order_ID</t>
  </si>
  <si>
    <t>Distinct Count of Customer</t>
  </si>
  <si>
    <t>Total Sales</t>
  </si>
  <si>
    <t>Total Profit</t>
  </si>
  <si>
    <t>Total Orders</t>
  </si>
  <si>
    <t>Total Customers</t>
  </si>
  <si>
    <t>Jan</t>
  </si>
  <si>
    <t>Feb</t>
  </si>
  <si>
    <t>Mar</t>
  </si>
  <si>
    <t>Apr</t>
  </si>
  <si>
    <t>May</t>
  </si>
  <si>
    <t>Jun</t>
  </si>
  <si>
    <t xml:space="preserve"> Profit</t>
  </si>
  <si>
    <t xml:space="preserve">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</si>
</sst>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5" formatCode="&quot;₹&quot;\ #,##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9" fontId="0" fillId="0" borderId="0" xfId="0" applyNumberFormat="1"/>
    <xf numFmtId="14" fontId="1" fillId="0" borderId="1" xfId="0" applyNumberFormat="1" applyFont="1" applyBorder="1" applyAlignment="1">
      <alignment horizontal="center" vertical="top"/>
    </xf>
    <xf numFmtId="14" fontId="0" fillId="0" borderId="0" xfId="0" applyNumberFormat="1"/>
    <xf numFmtId="0" fontId="1" fillId="2" borderId="1" xfId="0" applyFont="1" applyFill="1" applyBorder="1" applyAlignment="1">
      <alignment horizontal="center" vertical="top"/>
    </xf>
    <xf numFmtId="0" fontId="0" fillId="0" borderId="0" xfId="0" pivotButton="1"/>
    <xf numFmtId="0" fontId="0" fillId="0" borderId="0" xfId="0" applyAlignment="1">
      <alignment horizontal="left"/>
    </xf>
    <xf numFmtId="10" fontId="0" fillId="0" borderId="0" xfId="0" applyNumberFormat="1"/>
    <xf numFmtId="165" fontId="0" fillId="0" borderId="0" xfId="0" applyNumberFormat="1"/>
  </cellXfs>
  <cellStyles count="1">
    <cellStyle name="Normal" xfId="0" builtinId="0"/>
  </cellStyles>
  <dxfs count="2">
    <dxf>
      <font>
        <b/>
        <i val="0"/>
        <color theme="1"/>
      </font>
    </dxf>
    <dxf>
      <font>
        <color theme="0"/>
      </font>
      <fill>
        <patternFill>
          <bgColor theme="8" tint="0.79998168889431442"/>
        </patternFill>
      </fill>
      <border>
        <left style="thin">
          <color auto="1"/>
        </left>
        <right style="thin">
          <color auto="1"/>
        </right>
        <top style="thin">
          <color auto="1"/>
        </top>
        <bottom style="thin">
          <color auto="1"/>
        </bottom>
      </border>
    </dxf>
  </dxfs>
  <tableStyles count="1" defaultTableStyle="TableStyleMedium9" defaultPivotStyle="PivotStyleLight16">
    <tableStyle name="Slicer Style 1" pivot="0" table="0" count="6" xr9:uid="{D4818978-0DB0-4F33-9759-69D622CEB7C0}">
      <tableStyleElement type="wholeTable" dxfId="1"/>
      <tableStyleElement type="headerRow" dxfId="0"/>
    </tableStyle>
  </tableStyles>
  <extLst>
    <ext xmlns:x14="http://schemas.microsoft.com/office/spreadsheetml/2009/9/main" uri="{46F421CA-312F-682f-3DD2-61675219B42D}">
      <x14:dxfs count="4">
        <dxf>
          <font>
            <color theme="1"/>
          </font>
        </dxf>
        <dxf>
          <font>
            <color theme="0"/>
          </font>
          <fill>
            <patternFill>
              <bgColor theme="8" tint="-0.499984740745262"/>
            </patternFill>
          </fill>
        </dxf>
        <dxf>
          <font>
            <color theme="1"/>
          </font>
        </dxf>
        <dxf>
          <font>
            <color theme="1"/>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2.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styles" Target="styles.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connections" Target="connections.xml"/><Relationship Id="rId10" Type="http://schemas.openxmlformats.org/officeDocument/2006/relationships/pivotCacheDefinition" Target="pivotCache/pivotCacheDefinition7.xml"/><Relationship Id="rId19" Type="http://schemas.microsoft.com/office/2007/relationships/slicerCache" Target="slicerCaches/slicerCache3.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theme" Target="theme/theme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Table!PivotTable6</c:name>
    <c:fmtId val="7"/>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IN" sz="1600" b="1"/>
              <a:t>Sales</a:t>
            </a:r>
            <a:r>
              <a:rPr lang="en-IN" sz="1600" b="1" baseline="0"/>
              <a:t> &amp; Profit Trend</a:t>
            </a:r>
            <a:endParaRPr lang="en-IN" sz="1600" b="1"/>
          </a:p>
        </c:rich>
      </c:tx>
      <c:layout>
        <c:manualLayout>
          <c:xMode val="edge"/>
          <c:yMode val="edge"/>
          <c:x val="0.30741816599698002"/>
          <c:y val="0"/>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Table'!$E$3</c:f>
              <c:strCache>
                <c:ptCount val="1"/>
                <c:pt idx="0">
                  <c:v>Sales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Table'!$D$4:$D$10</c:f>
              <c:strCache>
                <c:ptCount val="6"/>
                <c:pt idx="0">
                  <c:v>Jan</c:v>
                </c:pt>
                <c:pt idx="1">
                  <c:v>Feb</c:v>
                </c:pt>
                <c:pt idx="2">
                  <c:v>Mar</c:v>
                </c:pt>
                <c:pt idx="3">
                  <c:v>Apr</c:v>
                </c:pt>
                <c:pt idx="4">
                  <c:v>May</c:v>
                </c:pt>
                <c:pt idx="5">
                  <c:v>Jun</c:v>
                </c:pt>
              </c:strCache>
            </c:strRef>
          </c:cat>
          <c:val>
            <c:numRef>
              <c:f>'Pivot Table'!$E$4:$E$10</c:f>
              <c:numCache>
                <c:formatCode>General</c:formatCode>
                <c:ptCount val="6"/>
                <c:pt idx="0">
                  <c:v>177447.65</c:v>
                </c:pt>
                <c:pt idx="1">
                  <c:v>662610.15</c:v>
                </c:pt>
                <c:pt idx="2">
                  <c:v>411976.65</c:v>
                </c:pt>
                <c:pt idx="3">
                  <c:v>496053.4</c:v>
                </c:pt>
                <c:pt idx="4">
                  <c:v>265665.5</c:v>
                </c:pt>
                <c:pt idx="5">
                  <c:v>615611.19999999995</c:v>
                </c:pt>
              </c:numCache>
            </c:numRef>
          </c:val>
          <c:smooth val="0"/>
          <c:extLst>
            <c:ext xmlns:c16="http://schemas.microsoft.com/office/drawing/2014/chart" uri="{C3380CC4-5D6E-409C-BE32-E72D297353CC}">
              <c16:uniqueId val="{00000000-652E-4BA8-9857-7D37D1C32318}"/>
            </c:ext>
          </c:extLst>
        </c:ser>
        <c:ser>
          <c:idx val="1"/>
          <c:order val="1"/>
          <c:tx>
            <c:strRef>
              <c:f>'Pivot Table'!$F$3</c:f>
              <c:strCache>
                <c:ptCount val="1"/>
                <c:pt idx="0">
                  <c:v> Profit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tx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Table'!$D$4:$D$10</c:f>
              <c:strCache>
                <c:ptCount val="6"/>
                <c:pt idx="0">
                  <c:v>Jan</c:v>
                </c:pt>
                <c:pt idx="1">
                  <c:v>Feb</c:v>
                </c:pt>
                <c:pt idx="2">
                  <c:v>Mar</c:v>
                </c:pt>
                <c:pt idx="3">
                  <c:v>Apr</c:v>
                </c:pt>
                <c:pt idx="4">
                  <c:v>May</c:v>
                </c:pt>
                <c:pt idx="5">
                  <c:v>Jun</c:v>
                </c:pt>
              </c:strCache>
            </c:strRef>
          </c:cat>
          <c:val>
            <c:numRef>
              <c:f>'Pivot Table'!$F$4:$F$10</c:f>
              <c:numCache>
                <c:formatCode>General</c:formatCode>
                <c:ptCount val="6"/>
                <c:pt idx="0">
                  <c:v>54666.28</c:v>
                </c:pt>
                <c:pt idx="1">
                  <c:v>213652.36</c:v>
                </c:pt>
                <c:pt idx="2">
                  <c:v>129291.87</c:v>
                </c:pt>
                <c:pt idx="3">
                  <c:v>141481.59</c:v>
                </c:pt>
                <c:pt idx="4">
                  <c:v>72112.22</c:v>
                </c:pt>
                <c:pt idx="5">
                  <c:v>168799.2</c:v>
                </c:pt>
              </c:numCache>
            </c:numRef>
          </c:val>
          <c:smooth val="0"/>
          <c:extLst>
            <c:ext xmlns:c16="http://schemas.microsoft.com/office/drawing/2014/chart" uri="{C3380CC4-5D6E-409C-BE32-E72D297353CC}">
              <c16:uniqueId val="{00000001-652E-4BA8-9857-7D37D1C32318}"/>
            </c:ext>
          </c:extLst>
        </c:ser>
        <c:dLbls>
          <c:dLblPos val="t"/>
          <c:showLegendKey val="0"/>
          <c:showVal val="1"/>
          <c:showCatName val="0"/>
          <c:showSerName val="0"/>
          <c:showPercent val="0"/>
          <c:showBubbleSize val="0"/>
        </c:dLbls>
        <c:marker val="1"/>
        <c:smooth val="0"/>
        <c:axId val="1925219680"/>
        <c:axId val="1925206784"/>
      </c:lineChart>
      <c:catAx>
        <c:axId val="1925219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tx1">
                    <a:lumMod val="65000"/>
                    <a:lumOff val="35000"/>
                  </a:schemeClr>
                </a:solidFill>
                <a:latin typeface="+mn-lt"/>
                <a:ea typeface="+mn-ea"/>
                <a:cs typeface="+mn-cs"/>
              </a:defRPr>
            </a:pPr>
            <a:endParaRPr lang="en-US"/>
          </a:p>
        </c:txPr>
        <c:crossAx val="1925206784"/>
        <c:crosses val="autoZero"/>
        <c:auto val="1"/>
        <c:lblAlgn val="ctr"/>
        <c:lblOffset val="100"/>
        <c:noMultiLvlLbl val="0"/>
      </c:catAx>
      <c:valAx>
        <c:axId val="1925206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25219680"/>
        <c:crosses val="autoZero"/>
        <c:crossBetween val="between"/>
      </c:valAx>
      <c:spPr>
        <a:noFill/>
        <a:ln>
          <a:noFill/>
        </a:ln>
        <a:effectLst/>
      </c:spPr>
    </c:plotArea>
    <c:legend>
      <c:legendPos val="r"/>
      <c:layout>
        <c:manualLayout>
          <c:xMode val="edge"/>
          <c:yMode val="edge"/>
          <c:x val="0.69175583667626273"/>
          <c:y val="3.9220588235294132E-2"/>
          <c:w val="0.29775923973571389"/>
          <c:h val="9.4242647058823514E-2"/>
        </c:manualLayout>
      </c:layout>
      <c:overlay val="0"/>
      <c:spPr>
        <a:noFill/>
        <a:ln>
          <a:noFill/>
        </a:ln>
        <a:effectLst/>
      </c:spPr>
      <c:txPr>
        <a:bodyPr rot="0" spcFirstLastPara="1" vertOverflow="ellipsis" vert="horz" wrap="square" anchor="ctr" anchorCtr="1"/>
        <a:lstStyle/>
        <a:p>
          <a:pPr algn="ctr">
            <a:defRPr lang="en-US"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Performance Dashboard.xlsx]Pivot Table!PivotTable7</c:name>
    <c:fmtId val="15"/>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ysClr val="windowText" lastClr="000000">
                    <a:lumMod val="65000"/>
                    <a:lumOff val="35000"/>
                  </a:sysClr>
                </a:solidFill>
                <a:latin typeface="+mn-lt"/>
                <a:ea typeface="+mn-ea"/>
                <a:cs typeface="+mn-cs"/>
              </a:rPr>
              <a:t>Sales By Region</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dLbl>
          <c:idx val="0"/>
          <c:layout>
            <c:manualLayout>
              <c:x val="-2.7777777777777779E-3"/>
              <c:y val="-0.36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dLbl>
          <c:idx val="0"/>
          <c:layout>
            <c:manualLayout>
              <c:x val="-5.0925337632079971E-17"/>
              <c:y val="-0.222222222222222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dLbl>
          <c:idx val="0"/>
          <c:layout>
            <c:manualLayout>
              <c:x val="0"/>
              <c:y val="-0.212962962962963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dLbl>
          <c:idx val="0"/>
          <c:layout>
            <c:manualLayout>
              <c:x val="-1.0185067526415994E-16"/>
              <c:y val="-0.180555555555555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dLbl>
          <c:idx val="0"/>
          <c:layout>
            <c:manualLayout>
              <c:x val="1.9444444444444344E-2"/>
              <c:y val="-9.25925925925926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olidFill>
          <a:ln>
            <a:noFill/>
          </a:ln>
          <a:effectLst/>
        </c:spPr>
        <c:dLbl>
          <c:idx val="0"/>
          <c:layout>
            <c:manualLayout>
              <c:x val="-2.7777777777777779E-3"/>
              <c:y val="-0.36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dLbl>
          <c:idx val="0"/>
          <c:layout>
            <c:manualLayout>
              <c:x val="-5.0925337632079971E-17"/>
              <c:y val="-0.2222222222222221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dLbl>
          <c:idx val="0"/>
          <c:layout>
            <c:manualLayout>
              <c:x val="0"/>
              <c:y val="-0.212962962962963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dLbl>
          <c:idx val="0"/>
          <c:layout>
            <c:manualLayout>
              <c:x val="-1.0185067526415994E-16"/>
              <c:y val="-0.1805555555555556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dLbl>
          <c:idx val="0"/>
          <c:layout>
            <c:manualLayout>
              <c:x val="1.9444444444444344E-2"/>
              <c:y val="-9.25925925925926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pivotFmt>
      <c:pivotFmt>
        <c:idx val="14"/>
        <c:spPr>
          <a:solidFill>
            <a:schemeClr val="accent4"/>
          </a:solidFill>
          <a:ln>
            <a:noFill/>
          </a:ln>
          <a:effectLst/>
        </c:spPr>
      </c:pivotFmt>
      <c:pivotFmt>
        <c:idx val="15"/>
        <c:spPr>
          <a:solidFill>
            <a:schemeClr val="accent4"/>
          </a:solidFill>
          <a:ln>
            <a:noFill/>
          </a:ln>
          <a:effectLst/>
        </c:spPr>
      </c:pivotFmt>
      <c:pivotFmt>
        <c:idx val="16"/>
        <c:spPr>
          <a:solidFill>
            <a:schemeClr val="accent4"/>
          </a:solidFill>
          <a:ln>
            <a:noFill/>
          </a:ln>
          <a:effectLst/>
        </c:spPr>
      </c:pivotFmt>
      <c:pivotFmt>
        <c:idx val="17"/>
        <c:spPr>
          <a:solidFill>
            <a:schemeClr val="accent4"/>
          </a:solidFill>
          <a:ln>
            <a:noFill/>
          </a:ln>
          <a:effectLst/>
        </c:spPr>
      </c:pivotFmt>
    </c:pivotFmts>
    <c:plotArea>
      <c:layout/>
      <c:barChart>
        <c:barDir val="col"/>
        <c:grouping val="stacked"/>
        <c:varyColors val="0"/>
        <c:ser>
          <c:idx val="0"/>
          <c:order val="0"/>
          <c:tx>
            <c:strRef>
              <c:f>'Pivot Table'!$E$12</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Table'!$D$13:$D$18</c:f>
              <c:strCache>
                <c:ptCount val="5"/>
                <c:pt idx="0">
                  <c:v>West</c:v>
                </c:pt>
                <c:pt idx="1">
                  <c:v>East</c:v>
                </c:pt>
                <c:pt idx="2">
                  <c:v>South</c:v>
                </c:pt>
                <c:pt idx="3">
                  <c:v>North</c:v>
                </c:pt>
                <c:pt idx="4">
                  <c:v>Unknown</c:v>
                </c:pt>
              </c:strCache>
            </c:strRef>
          </c:cat>
          <c:val>
            <c:numRef>
              <c:f>'Pivot Table'!$E$13:$E$18</c:f>
              <c:numCache>
                <c:formatCode>General</c:formatCode>
                <c:ptCount val="5"/>
                <c:pt idx="0">
                  <c:v>858555.1</c:v>
                </c:pt>
                <c:pt idx="1">
                  <c:v>650732.75</c:v>
                </c:pt>
                <c:pt idx="2">
                  <c:v>622693.85</c:v>
                </c:pt>
                <c:pt idx="3">
                  <c:v>496216.65</c:v>
                </c:pt>
                <c:pt idx="4">
                  <c:v>1166.2</c:v>
                </c:pt>
              </c:numCache>
            </c:numRef>
          </c:val>
          <c:extLst>
            <c:ext xmlns:c16="http://schemas.microsoft.com/office/drawing/2014/chart" uri="{C3380CC4-5D6E-409C-BE32-E72D297353CC}">
              <c16:uniqueId val="{00000005-71DF-4115-B9CB-EEDA05383E1E}"/>
            </c:ext>
          </c:extLst>
        </c:ser>
        <c:dLbls>
          <c:dLblPos val="ctr"/>
          <c:showLegendKey val="0"/>
          <c:showVal val="1"/>
          <c:showCatName val="0"/>
          <c:showSerName val="0"/>
          <c:showPercent val="0"/>
          <c:showBubbleSize val="0"/>
        </c:dLbls>
        <c:gapWidth val="150"/>
        <c:overlap val="100"/>
        <c:axId val="2010531152"/>
        <c:axId val="2010530320"/>
      </c:barChart>
      <c:catAx>
        <c:axId val="2010531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tx1">
                    <a:lumMod val="65000"/>
                    <a:lumOff val="35000"/>
                  </a:schemeClr>
                </a:solidFill>
                <a:latin typeface="+mn-lt"/>
                <a:ea typeface="+mn-ea"/>
                <a:cs typeface="+mn-cs"/>
              </a:defRPr>
            </a:pPr>
            <a:endParaRPr lang="en-US"/>
          </a:p>
        </c:txPr>
        <c:crossAx val="2010530320"/>
        <c:crosses val="autoZero"/>
        <c:auto val="1"/>
        <c:lblAlgn val="ctr"/>
        <c:lblOffset val="100"/>
        <c:noMultiLvlLbl val="0"/>
      </c:catAx>
      <c:valAx>
        <c:axId val="201053032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tx1">
                    <a:lumMod val="65000"/>
                    <a:lumOff val="35000"/>
                  </a:schemeClr>
                </a:solidFill>
                <a:latin typeface="+mn-lt"/>
                <a:ea typeface="+mn-ea"/>
                <a:cs typeface="+mn-cs"/>
              </a:defRPr>
            </a:pPr>
            <a:endParaRPr lang="en-US"/>
          </a:p>
        </c:txPr>
        <c:crossAx val="2010531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Performance Dashboard.xlsx]Pivot Table!PivotTable8</c:name>
    <c:fmtId val="21"/>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ysClr val="windowText" lastClr="000000">
                    <a:lumMod val="65000"/>
                    <a:lumOff val="35000"/>
                  </a:sysClr>
                </a:solidFill>
                <a:latin typeface="+mn-lt"/>
                <a:ea typeface="+mn-ea"/>
                <a:cs typeface="+mn-cs"/>
              </a:rPr>
              <a:t>Sales By Category</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hade val="76000"/>
            </a:schemeClr>
          </a:solidFill>
          <a:ln w="19050">
            <a:solidFill>
              <a:schemeClr val="lt1"/>
            </a:solidFill>
          </a:ln>
          <a:effectLst/>
        </c:spPr>
      </c:pivotFmt>
      <c:pivotFmt>
        <c:idx val="6"/>
        <c:spPr>
          <a:solidFill>
            <a:schemeClr val="accent5">
              <a:tint val="77000"/>
            </a:schemeClr>
          </a:solidFill>
          <a:ln w="19050">
            <a:solidFill>
              <a:schemeClr val="lt1"/>
            </a:solidFill>
          </a:ln>
          <a:effectLst/>
        </c:spPr>
      </c:pivotFmt>
    </c:pivotFmts>
    <c:plotArea>
      <c:layout/>
      <c:doughnutChart>
        <c:varyColors val="1"/>
        <c:ser>
          <c:idx val="0"/>
          <c:order val="0"/>
          <c:tx>
            <c:strRef>
              <c:f>'Pivot Table'!$I$3</c:f>
              <c:strCache>
                <c:ptCount val="1"/>
                <c:pt idx="0">
                  <c:v>Total</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A1FA-467A-B1D9-CB73E540B7B5}"/>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A1FA-467A-B1D9-CB73E540B7B5}"/>
              </c:ext>
            </c:extLst>
          </c:dPt>
          <c:dLbls>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Table'!$H$4:$H$6</c:f>
              <c:strCache>
                <c:ptCount val="2"/>
                <c:pt idx="0">
                  <c:v>Accessories</c:v>
                </c:pt>
                <c:pt idx="1">
                  <c:v>Electronics</c:v>
                </c:pt>
              </c:strCache>
            </c:strRef>
          </c:cat>
          <c:val>
            <c:numRef>
              <c:f>'Pivot Table'!$I$4:$I$6</c:f>
              <c:numCache>
                <c:formatCode>0.00%</c:formatCode>
                <c:ptCount val="2"/>
                <c:pt idx="0">
                  <c:v>9.0219326947265643E-2</c:v>
                </c:pt>
                <c:pt idx="1">
                  <c:v>0.90978067305273436</c:v>
                </c:pt>
              </c:numCache>
            </c:numRef>
          </c:val>
          <c:extLst>
            <c:ext xmlns:c16="http://schemas.microsoft.com/office/drawing/2014/chart" uri="{C3380CC4-5D6E-409C-BE32-E72D297353CC}">
              <c16:uniqueId val="{00000004-A1FA-467A-B1D9-CB73E540B7B5}"/>
            </c:ext>
          </c:extLst>
        </c:ser>
        <c:dLbls>
          <c:showLegendKey val="0"/>
          <c:showVal val="1"/>
          <c:showCatName val="0"/>
          <c:showSerName val="0"/>
          <c:showPercent val="0"/>
          <c:showBubbleSize val="0"/>
          <c:showLeaderLines val="1"/>
        </c:dLbls>
        <c:firstSliceAng val="0"/>
        <c:holeSize val="47"/>
      </c:doughnutChart>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 Performance Dashboard.xlsx]Pivot Table!PivotTable11</c:name>
    <c:fmtId val="38"/>
  </c:pivotSource>
  <c:chart>
    <c:title>
      <c:tx>
        <c:rich>
          <a:bodyPr rot="0" spcFirstLastPara="1" vertOverflow="ellipsis" vert="horz" wrap="square" anchor="ctr" anchorCtr="1"/>
          <a:lstStyle/>
          <a:p>
            <a:pPr algn="ctr" rtl="0">
              <a:defRPr lang="en-IN" sz="1600" b="1" i="0" u="none" strike="noStrike" kern="1200" spc="0" baseline="0">
                <a:solidFill>
                  <a:sysClr val="windowText" lastClr="000000">
                    <a:lumMod val="65000"/>
                    <a:lumOff val="35000"/>
                  </a:sysClr>
                </a:solidFill>
                <a:latin typeface="+mn-lt"/>
                <a:ea typeface="+mn-ea"/>
                <a:cs typeface="+mn-cs"/>
              </a:defRPr>
            </a:pPr>
            <a:r>
              <a:rPr lang="en-IN" sz="1600" b="1" i="0" u="none" strike="noStrike" kern="1200" spc="0" baseline="0">
                <a:solidFill>
                  <a:sysClr val="windowText" lastClr="000000">
                    <a:lumMod val="65000"/>
                    <a:lumOff val="35000"/>
                  </a:sysClr>
                </a:solidFill>
                <a:latin typeface="+mn-lt"/>
                <a:ea typeface="+mn-ea"/>
                <a:cs typeface="+mn-cs"/>
              </a:rPr>
              <a:t>Sales vs Cost by Product</a:t>
            </a:r>
          </a:p>
        </c:rich>
      </c:tx>
      <c:overlay val="0"/>
      <c:spPr>
        <a:noFill/>
        <a:ln>
          <a:noFill/>
        </a:ln>
        <a:effectLst/>
      </c:spPr>
      <c:txPr>
        <a:bodyPr rot="0" spcFirstLastPara="1" vertOverflow="ellipsis" vert="horz" wrap="square" anchor="ctr" anchorCtr="1"/>
        <a:lstStyle/>
        <a:p>
          <a:pPr algn="ctr" rtl="0">
            <a:defRPr lang="en-IN"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lgn="ct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anchor="ctr" anchorCtr="1"/>
            <a:lstStyle/>
            <a:p>
              <a:pPr algn="ct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Table'!$K$10</c:f>
              <c:strCache>
                <c:ptCount val="1"/>
                <c:pt idx="0">
                  <c:v> Profit</c:v>
                </c:pt>
              </c:strCache>
            </c:strRef>
          </c:tx>
          <c:spPr>
            <a:solidFill>
              <a:schemeClr val="accent2">
                <a:shade val="76000"/>
              </a:schemeClr>
            </a:solidFill>
            <a:ln>
              <a:noFill/>
            </a:ln>
            <a:effectLst/>
          </c:spPr>
          <c:invertIfNegative val="0"/>
          <c:dLbls>
            <c:spPr>
              <a:noFill/>
              <a:ln>
                <a:noFill/>
              </a:ln>
              <a:effectLst/>
            </c:spPr>
            <c:txPr>
              <a:bodyPr rot="0" spcFirstLastPara="1" vertOverflow="ellipsis" vert="horz" wrap="square" anchor="ctr" anchorCtr="1"/>
              <a:lstStyle/>
              <a:p>
                <a:pPr algn="ct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Table'!$J$11:$J$16</c:f>
              <c:strCache>
                <c:ptCount val="5"/>
                <c:pt idx="0">
                  <c:v>Laptop</c:v>
                </c:pt>
                <c:pt idx="1">
                  <c:v>Monitor</c:v>
                </c:pt>
                <c:pt idx="2">
                  <c:v>Headset</c:v>
                </c:pt>
                <c:pt idx="3">
                  <c:v>Mouse</c:v>
                </c:pt>
                <c:pt idx="4">
                  <c:v>Keyboard</c:v>
                </c:pt>
              </c:strCache>
            </c:strRef>
          </c:cat>
          <c:val>
            <c:numRef>
              <c:f>'Pivot Table'!$K$11:$K$16</c:f>
              <c:numCache>
                <c:formatCode>General</c:formatCode>
                <c:ptCount val="5"/>
                <c:pt idx="0">
                  <c:v>458335.61</c:v>
                </c:pt>
                <c:pt idx="1">
                  <c:v>250328.43</c:v>
                </c:pt>
                <c:pt idx="2">
                  <c:v>31980.18</c:v>
                </c:pt>
                <c:pt idx="3">
                  <c:v>17978.419999999998</c:v>
                </c:pt>
                <c:pt idx="4">
                  <c:v>21380.880000000001</c:v>
                </c:pt>
              </c:numCache>
            </c:numRef>
          </c:val>
          <c:extLst>
            <c:ext xmlns:c16="http://schemas.microsoft.com/office/drawing/2014/chart" uri="{C3380CC4-5D6E-409C-BE32-E72D297353CC}">
              <c16:uniqueId val="{00000000-6DF5-4BB8-AEE9-38386A1F05BE}"/>
            </c:ext>
          </c:extLst>
        </c:ser>
        <c:ser>
          <c:idx val="1"/>
          <c:order val="1"/>
          <c:tx>
            <c:strRef>
              <c:f>'Pivot Table'!$L$10</c:f>
              <c:strCache>
                <c:ptCount val="1"/>
                <c:pt idx="0">
                  <c:v> Cost</c:v>
                </c:pt>
              </c:strCache>
            </c:strRef>
          </c:tx>
          <c:spPr>
            <a:solidFill>
              <a:schemeClr val="accent2">
                <a:tint val="77000"/>
              </a:schemeClr>
            </a:solidFill>
            <a:ln>
              <a:noFill/>
            </a:ln>
            <a:effectLst/>
          </c:spPr>
          <c:invertIfNegative val="0"/>
          <c:dLbls>
            <c:spPr>
              <a:noFill/>
              <a:ln>
                <a:noFill/>
              </a:ln>
              <a:effectLst/>
            </c:spPr>
            <c:txPr>
              <a:bodyPr rot="0" spcFirstLastPara="1" vertOverflow="ellipsis" vert="horz" wrap="square" anchor="ctr" anchorCtr="1"/>
              <a:lstStyle/>
              <a:p>
                <a:pPr algn="ct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Table'!$J$11:$J$16</c:f>
              <c:strCache>
                <c:ptCount val="5"/>
                <c:pt idx="0">
                  <c:v>Laptop</c:v>
                </c:pt>
                <c:pt idx="1">
                  <c:v>Monitor</c:v>
                </c:pt>
                <c:pt idx="2">
                  <c:v>Headset</c:v>
                </c:pt>
                <c:pt idx="3">
                  <c:v>Mouse</c:v>
                </c:pt>
                <c:pt idx="4">
                  <c:v>Keyboard</c:v>
                </c:pt>
              </c:strCache>
            </c:strRef>
          </c:cat>
          <c:val>
            <c:numRef>
              <c:f>'Pivot Table'!$L$11:$L$16</c:f>
              <c:numCache>
                <c:formatCode>General</c:formatCode>
                <c:ptCount val="5"/>
                <c:pt idx="0">
                  <c:v>1041636.79</c:v>
                </c:pt>
                <c:pt idx="1">
                  <c:v>629636.52</c:v>
                </c:pt>
                <c:pt idx="2">
                  <c:v>77521.47</c:v>
                </c:pt>
                <c:pt idx="3">
                  <c:v>54695.83</c:v>
                </c:pt>
                <c:pt idx="4">
                  <c:v>45870.42</c:v>
                </c:pt>
              </c:numCache>
            </c:numRef>
          </c:val>
          <c:extLst>
            <c:ext xmlns:c16="http://schemas.microsoft.com/office/drawing/2014/chart" uri="{C3380CC4-5D6E-409C-BE32-E72D297353CC}">
              <c16:uniqueId val="{00000003-6DF5-4BB8-AEE9-38386A1F05BE}"/>
            </c:ext>
          </c:extLst>
        </c:ser>
        <c:dLbls>
          <c:dLblPos val="outEnd"/>
          <c:showLegendKey val="0"/>
          <c:showVal val="1"/>
          <c:showCatName val="0"/>
          <c:showSerName val="0"/>
          <c:showPercent val="0"/>
          <c:showBubbleSize val="0"/>
        </c:dLbls>
        <c:gapWidth val="219"/>
        <c:axId val="295572832"/>
        <c:axId val="295571584"/>
      </c:barChart>
      <c:catAx>
        <c:axId val="295572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lumMod val="65000"/>
                    <a:lumOff val="35000"/>
                  </a:schemeClr>
                </a:solidFill>
                <a:latin typeface="+mn-lt"/>
                <a:ea typeface="+mn-ea"/>
                <a:cs typeface="+mn-cs"/>
              </a:defRPr>
            </a:pPr>
            <a:endParaRPr lang="en-US"/>
          </a:p>
        </c:txPr>
        <c:crossAx val="295571584"/>
        <c:crosses val="autoZero"/>
        <c:auto val="1"/>
        <c:lblAlgn val="ctr"/>
        <c:lblOffset val="100"/>
        <c:noMultiLvlLbl val="0"/>
      </c:catAx>
      <c:valAx>
        <c:axId val="2955715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tx1">
                    <a:lumMod val="65000"/>
                    <a:lumOff val="35000"/>
                  </a:schemeClr>
                </a:solidFill>
                <a:latin typeface="+mn-lt"/>
                <a:ea typeface="+mn-ea"/>
                <a:cs typeface="+mn-cs"/>
              </a:defRPr>
            </a:pPr>
            <a:endParaRPr lang="en-US"/>
          </a:p>
        </c:txPr>
        <c:crossAx val="295572832"/>
        <c:crosses val="autoZero"/>
        <c:crossBetween val="between"/>
      </c:valAx>
      <c:spPr>
        <a:noFill/>
        <a:ln>
          <a:noFill/>
        </a:ln>
        <a:effectLst/>
      </c:spPr>
    </c:plotArea>
    <c:legend>
      <c:legendPos val="r"/>
      <c:layout>
        <c:manualLayout>
          <c:xMode val="edge"/>
          <c:yMode val="edge"/>
          <c:x val="0.82215019391232813"/>
          <c:y val="0.30899183006535952"/>
          <c:w val="0.12710353743095545"/>
          <c:h val="0.18762499999999999"/>
        </c:manualLayout>
      </c:layout>
      <c:overlay val="0"/>
      <c:spPr>
        <a:noFill/>
        <a:ln>
          <a:noFill/>
        </a:ln>
        <a:effectLst/>
      </c:spPr>
      <c:txPr>
        <a:bodyPr rot="0" spcFirstLastPara="1" vertOverflow="ellipsis" vert="horz" wrap="square" anchor="ctr" anchorCtr="1"/>
        <a:lstStyle/>
        <a:p>
          <a:pPr algn="ctr">
            <a:defRPr lang="en-US"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a:defRPr lang="en-US" sz="1000" b="1"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Performance Dashboard.xlsx]Pivot Table!PivotTable5</c:name>
    <c:fmtId val="20"/>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ysClr val="windowText" lastClr="000000">
                    <a:lumMod val="65000"/>
                    <a:lumOff val="35000"/>
                  </a:sysClr>
                </a:solidFill>
                <a:latin typeface="+mn-lt"/>
                <a:ea typeface="+mn-ea"/>
                <a:cs typeface="+mn-cs"/>
              </a:rPr>
              <a:t>Product by Sales</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0"/>
              <a:lstStyle/>
              <a:p>
                <a:pPr algn="ctr">
                  <a:defRPr lang="en-US" sz="1000" b="1"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Table'!$J$19:$J$24</c:f>
              <c:strCache>
                <c:ptCount val="5"/>
                <c:pt idx="0">
                  <c:v>Keyboard</c:v>
                </c:pt>
                <c:pt idx="1">
                  <c:v>Mouse</c:v>
                </c:pt>
                <c:pt idx="2">
                  <c:v>Headset</c:v>
                </c:pt>
                <c:pt idx="3">
                  <c:v>Monitor</c:v>
                </c:pt>
                <c:pt idx="4">
                  <c:v>Laptop</c:v>
                </c:pt>
              </c:strCache>
            </c:strRef>
          </c:cat>
          <c:val>
            <c:numRef>
              <c:f>'Pivot Table'!$K$19:$K$24</c:f>
              <c:numCache>
                <c:formatCode>General</c:formatCode>
                <c:ptCount val="5"/>
                <c:pt idx="0">
                  <c:v>67251.3</c:v>
                </c:pt>
                <c:pt idx="1">
                  <c:v>72674.25</c:v>
                </c:pt>
                <c:pt idx="2">
                  <c:v>109501.65</c:v>
                </c:pt>
                <c:pt idx="3">
                  <c:v>879964.95</c:v>
                </c:pt>
                <c:pt idx="4">
                  <c:v>1499972.4</c:v>
                </c:pt>
              </c:numCache>
            </c:numRef>
          </c:val>
          <c:extLst>
            <c:ext xmlns:c16="http://schemas.microsoft.com/office/drawing/2014/chart" uri="{C3380CC4-5D6E-409C-BE32-E72D297353CC}">
              <c16:uniqueId val="{00000000-143D-4B40-A2C4-C35F102A0824}"/>
            </c:ext>
          </c:extLst>
        </c:ser>
        <c:dLbls>
          <c:dLblPos val="outEnd"/>
          <c:showLegendKey val="0"/>
          <c:showVal val="1"/>
          <c:showCatName val="0"/>
          <c:showSerName val="0"/>
          <c:showPercent val="0"/>
          <c:showBubbleSize val="0"/>
        </c:dLbls>
        <c:gapWidth val="182"/>
        <c:axId val="538591792"/>
        <c:axId val="538597616"/>
      </c:barChart>
      <c:catAx>
        <c:axId val="538591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tx1">
                    <a:lumMod val="65000"/>
                    <a:lumOff val="35000"/>
                  </a:schemeClr>
                </a:solidFill>
                <a:latin typeface="+mn-lt"/>
                <a:ea typeface="+mn-ea"/>
                <a:cs typeface="+mn-cs"/>
              </a:defRPr>
            </a:pPr>
            <a:endParaRPr lang="en-US"/>
          </a:p>
        </c:txPr>
        <c:crossAx val="538597616"/>
        <c:crosses val="autoZero"/>
        <c:auto val="1"/>
        <c:lblAlgn val="ctr"/>
        <c:lblOffset val="100"/>
        <c:noMultiLvlLbl val="0"/>
      </c:catAx>
      <c:valAx>
        <c:axId val="5385976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chemeClr val="tx1">
                    <a:lumMod val="65000"/>
                    <a:lumOff val="35000"/>
                  </a:schemeClr>
                </a:solidFill>
                <a:latin typeface="+mn-lt"/>
                <a:ea typeface="+mn-ea"/>
                <a:cs typeface="+mn-cs"/>
              </a:defRPr>
            </a:pPr>
            <a:endParaRPr lang="en-US"/>
          </a:p>
        </c:txPr>
        <c:crossAx val="538591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a:defRPr lang="en-US" sz="1000" b="1"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 Table!PivotTable12</c:name>
    <c:fmtId val="27"/>
  </c:pivotSource>
  <c:chart>
    <c:title>
      <c:tx>
        <c:rich>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ysClr val="windowText" lastClr="000000">
                    <a:lumMod val="65000"/>
                    <a:lumOff val="35000"/>
                  </a:sysClr>
                </a:solidFill>
                <a:latin typeface="+mn-lt"/>
                <a:ea typeface="+mn-ea"/>
                <a:cs typeface="+mn-cs"/>
              </a:rPr>
              <a:t>Payment mode Distribution</a:t>
            </a:r>
          </a:p>
        </c:rich>
      </c:tx>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 Table'!$N$18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A2-4A26-84D4-E82AEE9491AD}"/>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C2A2-4A26-84D4-E82AEE9491AD}"/>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C2A2-4A26-84D4-E82AEE9491AD}"/>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C2A2-4A26-84D4-E82AEE9491A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Table'!$M$19:$M$23</c:f>
              <c:strCache>
                <c:ptCount val="4"/>
                <c:pt idx="0">
                  <c:v>Card</c:v>
                </c:pt>
                <c:pt idx="1">
                  <c:v>Cash</c:v>
                </c:pt>
                <c:pt idx="2">
                  <c:v>Net Banking</c:v>
                </c:pt>
                <c:pt idx="3">
                  <c:v>UPI</c:v>
                </c:pt>
              </c:strCache>
            </c:strRef>
          </c:cat>
          <c:val>
            <c:numRef>
              <c:f>'Pivot Table'!$N$19:$N$23</c:f>
              <c:numCache>
                <c:formatCode>0.00%</c:formatCode>
                <c:ptCount val="4"/>
                <c:pt idx="0">
                  <c:v>0.10687897956181086</c:v>
                </c:pt>
                <c:pt idx="1">
                  <c:v>0.20879655124277083</c:v>
                </c:pt>
                <c:pt idx="2">
                  <c:v>0.3575978081852515</c:v>
                </c:pt>
                <c:pt idx="3">
                  <c:v>0.3267266610101669</c:v>
                </c:pt>
              </c:numCache>
            </c:numRef>
          </c:val>
          <c:extLst>
            <c:ext xmlns:c16="http://schemas.microsoft.com/office/drawing/2014/chart" uri="{C3380CC4-5D6E-409C-BE32-E72D297353CC}">
              <c16:uniqueId val="{00000008-C2A2-4A26-84D4-E82AEE9491AD}"/>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r"/>
      <c:overlay val="0"/>
      <c:spPr>
        <a:noFill/>
        <a:ln>
          <a:noFill/>
        </a:ln>
        <a:effectLst/>
      </c:spPr>
      <c:txPr>
        <a:bodyPr rot="0" spcFirstLastPara="1" vertOverflow="ellipsis" vert="horz" wrap="square" anchor="ctr" anchorCtr="1"/>
        <a:lstStyle/>
        <a:p>
          <a:pPr algn="ctr">
            <a:defRPr lang="en-US"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1.xml"/><Relationship Id="rId21" Type="http://schemas.openxmlformats.org/officeDocument/2006/relationships/image" Target="../media/image15.png"/><Relationship Id="rId7" Type="http://schemas.openxmlformats.org/officeDocument/2006/relationships/chart" Target="../charts/chart5.xml"/><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image" Target="../media/image2.svg"/><Relationship Id="rId16" Type="http://schemas.openxmlformats.org/officeDocument/2006/relationships/image" Target="../media/image10.svg"/><Relationship Id="rId20" Type="http://schemas.openxmlformats.org/officeDocument/2006/relationships/image" Target="../media/image14.sv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5.png"/><Relationship Id="rId5" Type="http://schemas.openxmlformats.org/officeDocument/2006/relationships/chart" Target="../charts/chart3.xml"/><Relationship Id="rId15" Type="http://schemas.openxmlformats.org/officeDocument/2006/relationships/image" Target="../media/image9.png"/><Relationship Id="rId10" Type="http://schemas.openxmlformats.org/officeDocument/2006/relationships/image" Target="../media/image4.svg"/><Relationship Id="rId19" Type="http://schemas.openxmlformats.org/officeDocument/2006/relationships/image" Target="../media/image13.png"/><Relationship Id="rId4" Type="http://schemas.openxmlformats.org/officeDocument/2006/relationships/chart" Target="../charts/chart2.xml"/><Relationship Id="rId9" Type="http://schemas.openxmlformats.org/officeDocument/2006/relationships/image" Target="../media/image3.png"/><Relationship Id="rId14" Type="http://schemas.openxmlformats.org/officeDocument/2006/relationships/image" Target="../media/image8.svg"/><Relationship Id="rId22" Type="http://schemas.openxmlformats.org/officeDocument/2006/relationships/image" Target="../media/image16.svg"/></Relationships>
</file>

<file path=xl/drawings/drawing1.xml><?xml version="1.0" encoding="utf-8"?>
<xdr:wsDr xmlns:xdr="http://schemas.openxmlformats.org/drawingml/2006/spreadsheetDrawing" xmlns:a="http://schemas.openxmlformats.org/drawingml/2006/main">
  <xdr:twoCellAnchor>
    <xdr:from>
      <xdr:col>0</xdr:col>
      <xdr:colOff>219075</xdr:colOff>
      <xdr:row>0</xdr:row>
      <xdr:rowOff>127000</xdr:rowOff>
    </xdr:from>
    <xdr:to>
      <xdr:col>21</xdr:col>
      <xdr:colOff>76488</xdr:colOff>
      <xdr:row>43</xdr:row>
      <xdr:rowOff>142876</xdr:rowOff>
    </xdr:to>
    <xdr:sp macro="" textlink="">
      <xdr:nvSpPr>
        <xdr:cNvPr id="2" name="Rectangle: Rounded Corners 1">
          <a:extLst>
            <a:ext uri="{FF2B5EF4-FFF2-40B4-BE49-F238E27FC236}">
              <a16:creationId xmlns:a16="http://schemas.microsoft.com/office/drawing/2014/main" id="{A263F0D4-E1D3-479B-AA0A-AA37BA806028}"/>
            </a:ext>
          </a:extLst>
        </xdr:cNvPr>
        <xdr:cNvSpPr/>
      </xdr:nvSpPr>
      <xdr:spPr>
        <a:xfrm>
          <a:off x="219075" y="127000"/>
          <a:ext cx="12525663" cy="8207376"/>
        </a:xfrm>
        <a:prstGeom prst="roundRect">
          <a:avLst>
            <a:gd name="adj" fmla="val 2039"/>
          </a:avLst>
        </a:prstGeom>
        <a:solidFill>
          <a:schemeClr val="accent5">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222251</xdr:colOff>
      <xdr:row>0</xdr:row>
      <xdr:rowOff>63499</xdr:rowOff>
    </xdr:from>
    <xdr:to>
      <xdr:col>21</xdr:col>
      <xdr:colOff>79375</xdr:colOff>
      <xdr:row>5</xdr:row>
      <xdr:rowOff>95250</xdr:rowOff>
    </xdr:to>
    <xdr:sp macro="" textlink="">
      <xdr:nvSpPr>
        <xdr:cNvPr id="5" name="Rectangle: Rounded Corners 4">
          <a:extLst>
            <a:ext uri="{FF2B5EF4-FFF2-40B4-BE49-F238E27FC236}">
              <a16:creationId xmlns:a16="http://schemas.microsoft.com/office/drawing/2014/main" id="{F5124A1A-9F4A-43C8-91A3-7062C2F9FD26}"/>
            </a:ext>
          </a:extLst>
        </xdr:cNvPr>
        <xdr:cNvSpPr/>
      </xdr:nvSpPr>
      <xdr:spPr>
        <a:xfrm>
          <a:off x="222251" y="63499"/>
          <a:ext cx="12525374" cy="984251"/>
        </a:xfrm>
        <a:prstGeom prst="roundRect">
          <a:avLst>
            <a:gd name="adj" fmla="val 0"/>
          </a:avLst>
        </a:prstGeom>
        <a:solidFill>
          <a:schemeClr val="accent5">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396875</xdr:colOff>
      <xdr:row>1</xdr:row>
      <xdr:rowOff>31750</xdr:rowOff>
    </xdr:from>
    <xdr:to>
      <xdr:col>1</xdr:col>
      <xdr:colOff>349251</xdr:colOff>
      <xdr:row>4</xdr:row>
      <xdr:rowOff>15876</xdr:rowOff>
    </xdr:to>
    <xdr:pic>
      <xdr:nvPicPr>
        <xdr:cNvPr id="7" name="Graphic 6" descr="Bar graph with upward trend with solid fill">
          <a:extLst>
            <a:ext uri="{FF2B5EF4-FFF2-40B4-BE49-F238E27FC236}">
              <a16:creationId xmlns:a16="http://schemas.microsoft.com/office/drawing/2014/main" id="{D9EB797B-E15D-42BB-B822-CF1E39E4B23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96875" y="222250"/>
          <a:ext cx="555626" cy="555626"/>
        </a:xfrm>
        <a:prstGeom prst="rect">
          <a:avLst/>
        </a:prstGeom>
      </xdr:spPr>
    </xdr:pic>
    <xdr:clientData/>
  </xdr:twoCellAnchor>
  <xdr:oneCellAnchor>
    <xdr:from>
      <xdr:col>2</xdr:col>
      <xdr:colOff>142874</xdr:colOff>
      <xdr:row>0</xdr:row>
      <xdr:rowOff>79374</xdr:rowOff>
    </xdr:from>
    <xdr:ext cx="5730876" cy="952501"/>
    <xdr:sp macro="" textlink="">
      <xdr:nvSpPr>
        <xdr:cNvPr id="8" name="TextBox 7">
          <a:extLst>
            <a:ext uri="{FF2B5EF4-FFF2-40B4-BE49-F238E27FC236}">
              <a16:creationId xmlns:a16="http://schemas.microsoft.com/office/drawing/2014/main" id="{83A895AA-882C-42DC-8EFD-CB60F577EA46}"/>
            </a:ext>
          </a:extLst>
        </xdr:cNvPr>
        <xdr:cNvSpPr txBox="1"/>
      </xdr:nvSpPr>
      <xdr:spPr>
        <a:xfrm>
          <a:off x="1349374" y="79374"/>
          <a:ext cx="5730876" cy="952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3200" b="1">
              <a:solidFill>
                <a:schemeClr val="bg1"/>
              </a:solidFill>
              <a:latin typeface="Times New Roman" panose="02020603050405020304" pitchFamily="18" charset="0"/>
              <a:cs typeface="Times New Roman" panose="02020603050405020304" pitchFamily="18" charset="0"/>
            </a:rPr>
            <a:t>Sales Performance Dashboard</a:t>
          </a:r>
        </a:p>
        <a:p>
          <a:r>
            <a:rPr lang="en-IN" sz="1600">
              <a:solidFill>
                <a:schemeClr val="bg1"/>
              </a:solidFill>
              <a:latin typeface="+mn-lt"/>
              <a:cs typeface="Times New Roman" panose="02020603050405020304" pitchFamily="18" charset="0"/>
            </a:rPr>
            <a:t>Track</a:t>
          </a:r>
          <a:r>
            <a:rPr lang="en-IN" sz="1600" baseline="0">
              <a:solidFill>
                <a:schemeClr val="bg1"/>
              </a:solidFill>
              <a:latin typeface="+mn-lt"/>
              <a:cs typeface="Times New Roman" panose="02020603050405020304" pitchFamily="18" charset="0"/>
            </a:rPr>
            <a:t> Sales | Orders | Customers | Profitability</a:t>
          </a:r>
          <a:endParaRPr lang="en-IN" sz="1600">
            <a:solidFill>
              <a:schemeClr val="bg1"/>
            </a:solidFill>
            <a:latin typeface="+mn-lt"/>
            <a:cs typeface="Times New Roman" panose="02020603050405020304" pitchFamily="18" charset="0"/>
          </a:endParaRPr>
        </a:p>
      </xdr:txBody>
    </xdr:sp>
    <xdr:clientData/>
  </xdr:oneCellAnchor>
  <xdr:oneCellAnchor>
    <xdr:from>
      <xdr:col>1</xdr:col>
      <xdr:colOff>349249</xdr:colOff>
      <xdr:row>0</xdr:row>
      <xdr:rowOff>95249</xdr:rowOff>
    </xdr:from>
    <xdr:ext cx="428625" cy="1158876"/>
    <xdr:sp macro="" textlink="">
      <xdr:nvSpPr>
        <xdr:cNvPr id="11" name="TextBox 10">
          <a:extLst>
            <a:ext uri="{FF2B5EF4-FFF2-40B4-BE49-F238E27FC236}">
              <a16:creationId xmlns:a16="http://schemas.microsoft.com/office/drawing/2014/main" id="{6B6E6886-CB7C-4C98-AA09-AE42E912797E}"/>
            </a:ext>
          </a:extLst>
        </xdr:cNvPr>
        <xdr:cNvSpPr txBox="1"/>
      </xdr:nvSpPr>
      <xdr:spPr>
        <a:xfrm>
          <a:off x="952499" y="95249"/>
          <a:ext cx="428625" cy="11588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4400" b="0">
              <a:solidFill>
                <a:schemeClr val="bg1"/>
              </a:solidFill>
            </a:rPr>
            <a:t>|</a:t>
          </a:r>
        </a:p>
      </xdr:txBody>
    </xdr:sp>
    <xdr:clientData/>
  </xdr:oneCellAnchor>
  <xdr:twoCellAnchor editAs="oneCell">
    <xdr:from>
      <xdr:col>0</xdr:col>
      <xdr:colOff>298450</xdr:colOff>
      <xdr:row>5</xdr:row>
      <xdr:rowOff>152400</xdr:rowOff>
    </xdr:from>
    <xdr:to>
      <xdr:col>4</xdr:col>
      <xdr:colOff>153450</xdr:colOff>
      <xdr:row>10</xdr:row>
      <xdr:rowOff>99900</xdr:rowOff>
    </xdr:to>
    <mc:AlternateContent xmlns:mc="http://schemas.openxmlformats.org/markup-compatibility/2006" xmlns:a14="http://schemas.microsoft.com/office/drawing/2010/main">
      <mc:Choice Requires="a14">
        <xdr:graphicFrame macro="">
          <xdr:nvGraphicFramePr>
            <xdr:cNvPr id="12" name="Order_Date (Month)">
              <a:extLst>
                <a:ext uri="{FF2B5EF4-FFF2-40B4-BE49-F238E27FC236}">
                  <a16:creationId xmlns:a16="http://schemas.microsoft.com/office/drawing/2014/main" id="{70446282-49D5-48D7-B343-5EF98F17B467}"/>
                </a:ext>
              </a:extLst>
            </xdr:cNvPr>
            <xdr:cNvGraphicFramePr/>
          </xdr:nvGraphicFramePr>
          <xdr:xfrm>
            <a:off x="0" y="0"/>
            <a:ext cx="0" cy="0"/>
          </xdr:xfrm>
          <a:graphic>
            <a:graphicData uri="http://schemas.microsoft.com/office/drawing/2010/slicer">
              <sle:slicer xmlns:sle="http://schemas.microsoft.com/office/drawing/2010/slicer" name="Order_Date (Month)"/>
            </a:graphicData>
          </a:graphic>
        </xdr:graphicFrame>
      </mc:Choice>
      <mc:Fallback xmlns="">
        <xdr:sp macro="" textlink="">
          <xdr:nvSpPr>
            <xdr:cNvPr id="0" name=""/>
            <xdr:cNvSpPr>
              <a:spLocks noTextEdit="1"/>
            </xdr:cNvSpPr>
          </xdr:nvSpPr>
          <xdr:spPr>
            <a:xfrm>
              <a:off x="298450" y="1104900"/>
              <a:ext cx="2268000"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15874</xdr:colOff>
      <xdr:row>5</xdr:row>
      <xdr:rowOff>180975</xdr:rowOff>
    </xdr:from>
    <xdr:to>
      <xdr:col>16</xdr:col>
      <xdr:colOff>285750</xdr:colOff>
      <xdr:row>10</xdr:row>
      <xdr:rowOff>142875</xdr:rowOff>
    </xdr:to>
    <mc:AlternateContent xmlns:mc="http://schemas.openxmlformats.org/markup-compatibility/2006" xmlns:a14="http://schemas.microsoft.com/office/drawing/2010/main">
      <mc:Choice Requires="a14">
        <xdr:graphicFrame macro="">
          <xdr:nvGraphicFramePr>
            <xdr:cNvPr id="13" name="Product">
              <a:extLst>
                <a:ext uri="{FF2B5EF4-FFF2-40B4-BE49-F238E27FC236}">
                  <a16:creationId xmlns:a16="http://schemas.microsoft.com/office/drawing/2014/main" id="{C33D34C2-5F70-4EB3-BE47-F38142976A5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651624" y="1133475"/>
              <a:ext cx="3286126"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222251</xdr:colOff>
      <xdr:row>5</xdr:row>
      <xdr:rowOff>161925</xdr:rowOff>
    </xdr:from>
    <xdr:to>
      <xdr:col>8</xdr:col>
      <xdr:colOff>77251</xdr:colOff>
      <xdr:row>10</xdr:row>
      <xdr:rowOff>109425</xdr:rowOff>
    </xdr:to>
    <mc:AlternateContent xmlns:mc="http://schemas.openxmlformats.org/markup-compatibility/2006" xmlns:a14="http://schemas.microsoft.com/office/drawing/2010/main">
      <mc:Choice Requires="a14">
        <xdr:graphicFrame macro="">
          <xdr:nvGraphicFramePr>
            <xdr:cNvPr id="16" name="Payment_Mode">
              <a:extLst>
                <a:ext uri="{FF2B5EF4-FFF2-40B4-BE49-F238E27FC236}">
                  <a16:creationId xmlns:a16="http://schemas.microsoft.com/office/drawing/2014/main" id="{BCCA18C3-0776-4FDC-99D6-845AA0D9E415}"/>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2635251" y="1114425"/>
              <a:ext cx="2268000"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368300</xdr:colOff>
      <xdr:row>6</xdr:row>
      <xdr:rowOff>9526</xdr:rowOff>
    </xdr:from>
    <xdr:to>
      <xdr:col>20</xdr:col>
      <xdr:colOff>539750</xdr:colOff>
      <xdr:row>10</xdr:row>
      <xdr:rowOff>142876</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1D221E81-0E86-4F31-BAB3-49114538270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020300" y="1152526"/>
              <a:ext cx="2584450" cy="895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146048</xdr:colOff>
      <xdr:row>5</xdr:row>
      <xdr:rowOff>177800</xdr:rowOff>
    </xdr:from>
    <xdr:to>
      <xdr:col>10</xdr:col>
      <xdr:colOff>523875</xdr:colOff>
      <xdr:row>10</xdr:row>
      <xdr:rowOff>125300</xdr:rowOff>
    </xdr:to>
    <mc:AlternateContent xmlns:mc="http://schemas.openxmlformats.org/markup-compatibility/2006" xmlns:a14="http://schemas.microsoft.com/office/drawing/2010/main">
      <mc:Choice Requires="a14">
        <xdr:graphicFrame macro="">
          <xdr:nvGraphicFramePr>
            <xdr:cNvPr id="14" name="Category">
              <a:extLst>
                <a:ext uri="{FF2B5EF4-FFF2-40B4-BE49-F238E27FC236}">
                  <a16:creationId xmlns:a16="http://schemas.microsoft.com/office/drawing/2014/main" id="{41BF1B6B-C3F0-4618-9CB6-BFC82723A49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972048" y="1130300"/>
              <a:ext cx="1584327"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301625</xdr:colOff>
      <xdr:row>11</xdr:row>
      <xdr:rowOff>63500</xdr:rowOff>
    </xdr:from>
    <xdr:to>
      <xdr:col>4</xdr:col>
      <xdr:colOff>228625</xdr:colOff>
      <xdr:row>15</xdr:row>
      <xdr:rowOff>111125</xdr:rowOff>
    </xdr:to>
    <xdr:sp macro="" textlink="">
      <xdr:nvSpPr>
        <xdr:cNvPr id="22" name="Rectangle: Rounded Corners 21">
          <a:extLst>
            <a:ext uri="{FF2B5EF4-FFF2-40B4-BE49-F238E27FC236}">
              <a16:creationId xmlns:a16="http://schemas.microsoft.com/office/drawing/2014/main" id="{B551F25D-217C-4121-A0AD-0C1ED95BF856}"/>
            </a:ext>
          </a:extLst>
        </xdr:cNvPr>
        <xdr:cNvSpPr/>
      </xdr:nvSpPr>
      <xdr:spPr>
        <a:xfrm>
          <a:off x="301625" y="2159000"/>
          <a:ext cx="2340000" cy="809625"/>
        </a:xfrm>
        <a:prstGeom prst="roundRect">
          <a:avLst/>
        </a:prstGeom>
        <a:solidFill>
          <a:schemeClr val="bg1"/>
        </a:solidFill>
        <a:ln w="6350">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342900</xdr:colOff>
      <xdr:row>11</xdr:row>
      <xdr:rowOff>73025</xdr:rowOff>
    </xdr:from>
    <xdr:to>
      <xdr:col>8</xdr:col>
      <xdr:colOff>269900</xdr:colOff>
      <xdr:row>15</xdr:row>
      <xdr:rowOff>120650</xdr:rowOff>
    </xdr:to>
    <xdr:sp macro="" textlink="">
      <xdr:nvSpPr>
        <xdr:cNvPr id="23" name="Rectangle: Rounded Corners 22">
          <a:extLst>
            <a:ext uri="{FF2B5EF4-FFF2-40B4-BE49-F238E27FC236}">
              <a16:creationId xmlns:a16="http://schemas.microsoft.com/office/drawing/2014/main" id="{4BE83FCB-278D-4173-B3EC-F626EA1690EF}"/>
            </a:ext>
          </a:extLst>
        </xdr:cNvPr>
        <xdr:cNvSpPr/>
      </xdr:nvSpPr>
      <xdr:spPr>
        <a:xfrm>
          <a:off x="2755900" y="2168525"/>
          <a:ext cx="2340000" cy="809625"/>
        </a:xfrm>
        <a:prstGeom prst="roundRect">
          <a:avLst/>
        </a:prstGeom>
        <a:solidFill>
          <a:schemeClr val="bg1"/>
        </a:solidFill>
        <a:ln w="6350">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400050</xdr:colOff>
      <xdr:row>11</xdr:row>
      <xdr:rowOff>82550</xdr:rowOff>
    </xdr:from>
    <xdr:to>
      <xdr:col>12</xdr:col>
      <xdr:colOff>327050</xdr:colOff>
      <xdr:row>15</xdr:row>
      <xdr:rowOff>130175</xdr:rowOff>
    </xdr:to>
    <xdr:sp macro="" textlink="">
      <xdr:nvSpPr>
        <xdr:cNvPr id="24" name="Rectangle: Rounded Corners 23">
          <a:extLst>
            <a:ext uri="{FF2B5EF4-FFF2-40B4-BE49-F238E27FC236}">
              <a16:creationId xmlns:a16="http://schemas.microsoft.com/office/drawing/2014/main" id="{86FEE828-71DB-4F50-8F08-0734E8EA75FA}"/>
            </a:ext>
          </a:extLst>
        </xdr:cNvPr>
        <xdr:cNvSpPr/>
      </xdr:nvSpPr>
      <xdr:spPr>
        <a:xfrm>
          <a:off x="5226050" y="2178050"/>
          <a:ext cx="2340000" cy="809625"/>
        </a:xfrm>
        <a:prstGeom prst="roundRect">
          <a:avLst/>
        </a:prstGeom>
        <a:solidFill>
          <a:schemeClr val="bg1"/>
        </a:solidFill>
        <a:ln w="6350">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473075</xdr:colOff>
      <xdr:row>11</xdr:row>
      <xdr:rowOff>107950</xdr:rowOff>
    </xdr:from>
    <xdr:to>
      <xdr:col>16</xdr:col>
      <xdr:colOff>400075</xdr:colOff>
      <xdr:row>15</xdr:row>
      <xdr:rowOff>155575</xdr:rowOff>
    </xdr:to>
    <xdr:sp macro="" textlink="">
      <xdr:nvSpPr>
        <xdr:cNvPr id="25" name="Rectangle: Rounded Corners 24">
          <a:extLst>
            <a:ext uri="{FF2B5EF4-FFF2-40B4-BE49-F238E27FC236}">
              <a16:creationId xmlns:a16="http://schemas.microsoft.com/office/drawing/2014/main" id="{3517AD7E-33C1-4634-8A70-8ABAB2E14DC2}"/>
            </a:ext>
          </a:extLst>
        </xdr:cNvPr>
        <xdr:cNvSpPr/>
      </xdr:nvSpPr>
      <xdr:spPr>
        <a:xfrm>
          <a:off x="7712075" y="2203450"/>
          <a:ext cx="2340000" cy="809625"/>
        </a:xfrm>
        <a:prstGeom prst="roundRect">
          <a:avLst/>
        </a:prstGeom>
        <a:solidFill>
          <a:schemeClr val="bg1"/>
        </a:solidFill>
        <a:ln w="6350">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577850</xdr:colOff>
      <xdr:row>11</xdr:row>
      <xdr:rowOff>117475</xdr:rowOff>
    </xdr:from>
    <xdr:to>
      <xdr:col>20</xdr:col>
      <xdr:colOff>504850</xdr:colOff>
      <xdr:row>15</xdr:row>
      <xdr:rowOff>165100</xdr:rowOff>
    </xdr:to>
    <xdr:sp macro="" textlink="">
      <xdr:nvSpPr>
        <xdr:cNvPr id="26" name="Rectangle: Rounded Corners 25">
          <a:extLst>
            <a:ext uri="{FF2B5EF4-FFF2-40B4-BE49-F238E27FC236}">
              <a16:creationId xmlns:a16="http://schemas.microsoft.com/office/drawing/2014/main" id="{028AF7D2-0E90-4265-98AF-7263CE907D58}"/>
            </a:ext>
          </a:extLst>
        </xdr:cNvPr>
        <xdr:cNvSpPr/>
      </xdr:nvSpPr>
      <xdr:spPr>
        <a:xfrm>
          <a:off x="10229850" y="2212975"/>
          <a:ext cx="2340000" cy="809625"/>
        </a:xfrm>
        <a:prstGeom prst="roundRect">
          <a:avLst/>
        </a:prstGeom>
        <a:solidFill>
          <a:schemeClr val="bg1"/>
        </a:solidFill>
        <a:ln w="6350">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412750</xdr:colOff>
      <xdr:row>11</xdr:row>
      <xdr:rowOff>158750</xdr:rowOff>
    </xdr:from>
    <xdr:to>
      <xdr:col>1</xdr:col>
      <xdr:colOff>428625</xdr:colOff>
      <xdr:row>15</xdr:row>
      <xdr:rowOff>15875</xdr:rowOff>
    </xdr:to>
    <xdr:sp macro="" textlink="">
      <xdr:nvSpPr>
        <xdr:cNvPr id="29" name="Rectangle: Rounded Corners 28">
          <a:extLst>
            <a:ext uri="{FF2B5EF4-FFF2-40B4-BE49-F238E27FC236}">
              <a16:creationId xmlns:a16="http://schemas.microsoft.com/office/drawing/2014/main" id="{5E54C6CA-6E0D-41CC-A26C-9B47797968DE}"/>
            </a:ext>
          </a:extLst>
        </xdr:cNvPr>
        <xdr:cNvSpPr/>
      </xdr:nvSpPr>
      <xdr:spPr>
        <a:xfrm>
          <a:off x="412750" y="2254250"/>
          <a:ext cx="619125" cy="619125"/>
        </a:xfrm>
        <a:prstGeom prst="roundRect">
          <a:avLst/>
        </a:prstGeom>
        <a:gradFill flip="none" rotWithShape="1">
          <a:gsLst>
            <a:gs pos="0">
              <a:schemeClr val="accent5">
                <a:lumMod val="50000"/>
                <a:shade val="30000"/>
                <a:satMod val="115000"/>
              </a:schemeClr>
            </a:gs>
            <a:gs pos="50000">
              <a:schemeClr val="accent5">
                <a:lumMod val="50000"/>
                <a:shade val="67500"/>
                <a:satMod val="115000"/>
              </a:schemeClr>
            </a:gs>
            <a:gs pos="100000">
              <a:schemeClr val="accent5">
                <a:lumMod val="50000"/>
                <a:shade val="100000"/>
                <a:satMod val="115000"/>
              </a:schemeClr>
            </a:gs>
          </a:gsLst>
          <a:lin ang="54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565150</xdr:colOff>
      <xdr:row>12</xdr:row>
      <xdr:rowOff>9525</xdr:rowOff>
    </xdr:from>
    <xdr:to>
      <xdr:col>13</xdr:col>
      <xdr:colOff>581025</xdr:colOff>
      <xdr:row>15</xdr:row>
      <xdr:rowOff>57150</xdr:rowOff>
    </xdr:to>
    <xdr:sp macro="" textlink="">
      <xdr:nvSpPr>
        <xdr:cNvPr id="30" name="Rectangle: Rounded Corners 29">
          <a:extLst>
            <a:ext uri="{FF2B5EF4-FFF2-40B4-BE49-F238E27FC236}">
              <a16:creationId xmlns:a16="http://schemas.microsoft.com/office/drawing/2014/main" id="{B436F958-F453-4876-9BD7-B55A2A27D00C}"/>
            </a:ext>
          </a:extLst>
        </xdr:cNvPr>
        <xdr:cNvSpPr/>
      </xdr:nvSpPr>
      <xdr:spPr>
        <a:xfrm>
          <a:off x="7804150" y="2295525"/>
          <a:ext cx="619125" cy="619125"/>
        </a:xfrm>
        <a:prstGeom prst="roundRect">
          <a:avLst/>
        </a:prstGeom>
        <a:gradFill flip="none" rotWithShape="1">
          <a:gsLst>
            <a:gs pos="0">
              <a:schemeClr val="accent5">
                <a:lumMod val="50000"/>
                <a:shade val="30000"/>
                <a:satMod val="115000"/>
              </a:schemeClr>
            </a:gs>
            <a:gs pos="50000">
              <a:schemeClr val="accent5">
                <a:lumMod val="50000"/>
                <a:shade val="67500"/>
                <a:satMod val="115000"/>
              </a:schemeClr>
            </a:gs>
            <a:gs pos="100000">
              <a:schemeClr val="accent5">
                <a:lumMod val="50000"/>
                <a:shade val="100000"/>
                <a:satMod val="115000"/>
              </a:schemeClr>
            </a:gs>
          </a:gsLst>
          <a:lin ang="54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511175</xdr:colOff>
      <xdr:row>11</xdr:row>
      <xdr:rowOff>177800</xdr:rowOff>
    </xdr:from>
    <xdr:to>
      <xdr:col>9</xdr:col>
      <xdr:colOff>527050</xdr:colOff>
      <xdr:row>15</xdr:row>
      <xdr:rowOff>34925</xdr:rowOff>
    </xdr:to>
    <xdr:sp macro="" textlink="">
      <xdr:nvSpPr>
        <xdr:cNvPr id="31" name="Rectangle: Rounded Corners 30">
          <a:extLst>
            <a:ext uri="{FF2B5EF4-FFF2-40B4-BE49-F238E27FC236}">
              <a16:creationId xmlns:a16="http://schemas.microsoft.com/office/drawing/2014/main" id="{70D4DB0F-8192-4AC9-B6E5-1F0D8F96F80B}"/>
            </a:ext>
          </a:extLst>
        </xdr:cNvPr>
        <xdr:cNvSpPr/>
      </xdr:nvSpPr>
      <xdr:spPr>
        <a:xfrm>
          <a:off x="5337175" y="2273300"/>
          <a:ext cx="619125" cy="619125"/>
        </a:xfrm>
        <a:prstGeom prst="roundRect">
          <a:avLst/>
        </a:prstGeom>
        <a:gradFill flip="none" rotWithShape="1">
          <a:gsLst>
            <a:gs pos="0">
              <a:schemeClr val="accent5">
                <a:lumMod val="50000"/>
                <a:shade val="30000"/>
                <a:satMod val="115000"/>
              </a:schemeClr>
            </a:gs>
            <a:gs pos="50000">
              <a:schemeClr val="accent5">
                <a:lumMod val="50000"/>
                <a:shade val="67500"/>
                <a:satMod val="115000"/>
              </a:schemeClr>
            </a:gs>
            <a:gs pos="100000">
              <a:schemeClr val="accent5">
                <a:lumMod val="50000"/>
                <a:shade val="100000"/>
                <a:satMod val="115000"/>
              </a:schemeClr>
            </a:gs>
          </a:gsLst>
          <a:lin ang="54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473075</xdr:colOff>
      <xdr:row>11</xdr:row>
      <xdr:rowOff>187325</xdr:rowOff>
    </xdr:from>
    <xdr:to>
      <xdr:col>5</xdr:col>
      <xdr:colOff>488950</xdr:colOff>
      <xdr:row>15</xdr:row>
      <xdr:rowOff>44450</xdr:rowOff>
    </xdr:to>
    <xdr:sp macro="" textlink="">
      <xdr:nvSpPr>
        <xdr:cNvPr id="32" name="Rectangle: Rounded Corners 31">
          <a:extLst>
            <a:ext uri="{FF2B5EF4-FFF2-40B4-BE49-F238E27FC236}">
              <a16:creationId xmlns:a16="http://schemas.microsoft.com/office/drawing/2014/main" id="{380BE049-6275-4E69-BCEF-F60090BC95C5}"/>
            </a:ext>
          </a:extLst>
        </xdr:cNvPr>
        <xdr:cNvSpPr/>
      </xdr:nvSpPr>
      <xdr:spPr>
        <a:xfrm>
          <a:off x="2886075" y="2282825"/>
          <a:ext cx="619125" cy="619125"/>
        </a:xfrm>
        <a:prstGeom prst="roundRect">
          <a:avLst/>
        </a:prstGeom>
        <a:gradFill flip="none" rotWithShape="1">
          <a:gsLst>
            <a:gs pos="0">
              <a:schemeClr val="accent5">
                <a:lumMod val="50000"/>
                <a:shade val="30000"/>
                <a:satMod val="115000"/>
              </a:schemeClr>
            </a:gs>
            <a:gs pos="50000">
              <a:schemeClr val="accent5">
                <a:lumMod val="50000"/>
                <a:shade val="67500"/>
                <a:satMod val="115000"/>
              </a:schemeClr>
            </a:gs>
            <a:gs pos="100000">
              <a:schemeClr val="accent5">
                <a:lumMod val="50000"/>
                <a:shade val="100000"/>
                <a:satMod val="115000"/>
              </a:schemeClr>
            </a:gs>
          </a:gsLst>
          <a:lin ang="54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17</xdr:col>
      <xdr:colOff>101600</xdr:colOff>
      <xdr:row>12</xdr:row>
      <xdr:rowOff>22225</xdr:rowOff>
    </xdr:from>
    <xdr:to>
      <xdr:col>18</xdr:col>
      <xdr:colOff>117475</xdr:colOff>
      <xdr:row>15</xdr:row>
      <xdr:rowOff>69850</xdr:rowOff>
    </xdr:to>
    <xdr:sp macro="" textlink="">
      <xdr:nvSpPr>
        <xdr:cNvPr id="33" name="Rectangle: Rounded Corners 32">
          <a:extLst>
            <a:ext uri="{FF2B5EF4-FFF2-40B4-BE49-F238E27FC236}">
              <a16:creationId xmlns:a16="http://schemas.microsoft.com/office/drawing/2014/main" id="{0CB0C7AE-6BCD-4625-BEFD-EF65A7497351}"/>
            </a:ext>
          </a:extLst>
        </xdr:cNvPr>
        <xdr:cNvSpPr/>
      </xdr:nvSpPr>
      <xdr:spPr>
        <a:xfrm>
          <a:off x="10356850" y="2308225"/>
          <a:ext cx="619125" cy="619125"/>
        </a:xfrm>
        <a:prstGeom prst="roundRect">
          <a:avLst/>
        </a:prstGeom>
        <a:gradFill flip="none" rotWithShape="1">
          <a:gsLst>
            <a:gs pos="0">
              <a:schemeClr val="accent5">
                <a:lumMod val="50000"/>
                <a:shade val="30000"/>
                <a:satMod val="115000"/>
              </a:schemeClr>
            </a:gs>
            <a:gs pos="50000">
              <a:schemeClr val="accent5">
                <a:lumMod val="50000"/>
                <a:shade val="67500"/>
                <a:satMod val="115000"/>
              </a:schemeClr>
            </a:gs>
            <a:gs pos="100000">
              <a:schemeClr val="accent5">
                <a:lumMod val="50000"/>
                <a:shade val="100000"/>
                <a:satMod val="115000"/>
              </a:schemeClr>
            </a:gs>
          </a:gsLst>
          <a:lin ang="54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2400">
              <a:solidFill>
                <a:schemeClr val="accent5">
                  <a:lumMod val="40000"/>
                  <a:lumOff val="60000"/>
                </a:schemeClr>
              </a:solidFill>
              <a:latin typeface="+mn-lt"/>
              <a:ea typeface="+mn-ea"/>
              <a:cs typeface="+mn-cs"/>
            </a:rPr>
            <a:t>%</a:t>
          </a:r>
        </a:p>
      </xdr:txBody>
    </xdr:sp>
    <xdr:clientData/>
  </xdr:twoCellAnchor>
  <xdr:oneCellAnchor>
    <xdr:from>
      <xdr:col>1</xdr:col>
      <xdr:colOff>571500</xdr:colOff>
      <xdr:row>11</xdr:row>
      <xdr:rowOff>127000</xdr:rowOff>
    </xdr:from>
    <xdr:ext cx="1079398" cy="302840"/>
    <xdr:sp macro="" textlink="">
      <xdr:nvSpPr>
        <xdr:cNvPr id="34" name="TextBox 33">
          <a:extLst>
            <a:ext uri="{FF2B5EF4-FFF2-40B4-BE49-F238E27FC236}">
              <a16:creationId xmlns:a16="http://schemas.microsoft.com/office/drawing/2014/main" id="{A394886C-C457-4227-8C79-42E72662B619}"/>
            </a:ext>
          </a:extLst>
        </xdr:cNvPr>
        <xdr:cNvSpPr txBox="1"/>
      </xdr:nvSpPr>
      <xdr:spPr>
        <a:xfrm>
          <a:off x="1174750" y="2222500"/>
          <a:ext cx="1079398" cy="302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latin typeface="+mj-lt"/>
              <a:cs typeface="Times New Roman" panose="02020603050405020304" pitchFamily="18" charset="0"/>
            </a:rPr>
            <a:t>Total Sales</a:t>
          </a:r>
        </a:p>
      </xdr:txBody>
    </xdr:sp>
    <xdr:clientData/>
  </xdr:oneCellAnchor>
  <xdr:oneCellAnchor>
    <xdr:from>
      <xdr:col>6</xdr:col>
      <xdr:colOff>47625</xdr:colOff>
      <xdr:row>11</xdr:row>
      <xdr:rowOff>142875</xdr:rowOff>
    </xdr:from>
    <xdr:ext cx="1134028" cy="302840"/>
    <xdr:sp macro="" textlink="">
      <xdr:nvSpPr>
        <xdr:cNvPr id="36" name="TextBox 35">
          <a:extLst>
            <a:ext uri="{FF2B5EF4-FFF2-40B4-BE49-F238E27FC236}">
              <a16:creationId xmlns:a16="http://schemas.microsoft.com/office/drawing/2014/main" id="{DA91F329-4E6A-4384-A6F8-4F6CBE491349}"/>
            </a:ext>
          </a:extLst>
        </xdr:cNvPr>
        <xdr:cNvSpPr txBox="1"/>
      </xdr:nvSpPr>
      <xdr:spPr>
        <a:xfrm>
          <a:off x="3667125" y="2238375"/>
          <a:ext cx="1134028" cy="302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400" b="1">
              <a:solidFill>
                <a:schemeClr val="tx1"/>
              </a:solidFill>
              <a:latin typeface="+mj-lt"/>
              <a:ea typeface="+mn-ea"/>
              <a:cs typeface="Times New Roman" panose="02020603050405020304" pitchFamily="18" charset="0"/>
            </a:rPr>
            <a:t>Total Profit</a:t>
          </a:r>
        </a:p>
      </xdr:txBody>
    </xdr:sp>
    <xdr:clientData/>
  </xdr:oneCellAnchor>
  <xdr:oneCellAnchor>
    <xdr:from>
      <xdr:col>9</xdr:col>
      <xdr:colOff>571500</xdr:colOff>
      <xdr:row>11</xdr:row>
      <xdr:rowOff>142875</xdr:rowOff>
    </xdr:from>
    <xdr:ext cx="1233607" cy="302840"/>
    <xdr:sp macro="" textlink="">
      <xdr:nvSpPr>
        <xdr:cNvPr id="37" name="TextBox 36">
          <a:extLst>
            <a:ext uri="{FF2B5EF4-FFF2-40B4-BE49-F238E27FC236}">
              <a16:creationId xmlns:a16="http://schemas.microsoft.com/office/drawing/2014/main" id="{D75B7A88-851A-4E83-AC46-27E891F26A76}"/>
            </a:ext>
          </a:extLst>
        </xdr:cNvPr>
        <xdr:cNvSpPr txBox="1"/>
      </xdr:nvSpPr>
      <xdr:spPr>
        <a:xfrm>
          <a:off x="6000750" y="2238375"/>
          <a:ext cx="1233607" cy="302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400" b="1">
              <a:solidFill>
                <a:schemeClr val="tx1"/>
              </a:solidFill>
              <a:latin typeface="+mj-lt"/>
              <a:ea typeface="+mn-ea"/>
              <a:cs typeface="Times New Roman" panose="02020603050405020304" pitchFamily="18" charset="0"/>
            </a:rPr>
            <a:t>Total Orders</a:t>
          </a:r>
        </a:p>
      </xdr:txBody>
    </xdr:sp>
    <xdr:clientData/>
  </xdr:oneCellAnchor>
  <xdr:oneCellAnchor>
    <xdr:from>
      <xdr:col>14</xdr:col>
      <xdr:colOff>0</xdr:colOff>
      <xdr:row>11</xdr:row>
      <xdr:rowOff>158750</xdr:rowOff>
    </xdr:from>
    <xdr:ext cx="1538819" cy="302840"/>
    <xdr:sp macro="" textlink="">
      <xdr:nvSpPr>
        <xdr:cNvPr id="38" name="TextBox 37">
          <a:extLst>
            <a:ext uri="{FF2B5EF4-FFF2-40B4-BE49-F238E27FC236}">
              <a16:creationId xmlns:a16="http://schemas.microsoft.com/office/drawing/2014/main" id="{4DCD557C-64E7-47F5-87E9-2F0AE7503546}"/>
            </a:ext>
          </a:extLst>
        </xdr:cNvPr>
        <xdr:cNvSpPr txBox="1"/>
      </xdr:nvSpPr>
      <xdr:spPr>
        <a:xfrm>
          <a:off x="8445500" y="2254250"/>
          <a:ext cx="1538819" cy="302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400" b="1">
              <a:solidFill>
                <a:schemeClr val="tx1"/>
              </a:solidFill>
              <a:latin typeface="+mj-lt"/>
              <a:ea typeface="+mn-ea"/>
              <a:cs typeface="Times New Roman" panose="02020603050405020304" pitchFamily="18" charset="0"/>
            </a:rPr>
            <a:t>Total Customers</a:t>
          </a:r>
        </a:p>
      </xdr:txBody>
    </xdr:sp>
    <xdr:clientData/>
  </xdr:oneCellAnchor>
  <xdr:oneCellAnchor>
    <xdr:from>
      <xdr:col>18</xdr:col>
      <xdr:colOff>238125</xdr:colOff>
      <xdr:row>11</xdr:row>
      <xdr:rowOff>174625</xdr:rowOff>
    </xdr:from>
    <xdr:ext cx="1289007" cy="302840"/>
    <xdr:sp macro="" textlink="">
      <xdr:nvSpPr>
        <xdr:cNvPr id="39" name="TextBox 38">
          <a:extLst>
            <a:ext uri="{FF2B5EF4-FFF2-40B4-BE49-F238E27FC236}">
              <a16:creationId xmlns:a16="http://schemas.microsoft.com/office/drawing/2014/main" id="{CEEBB098-F8A0-4C2F-9BC8-929AACE1D72F}"/>
            </a:ext>
          </a:extLst>
        </xdr:cNvPr>
        <xdr:cNvSpPr txBox="1"/>
      </xdr:nvSpPr>
      <xdr:spPr>
        <a:xfrm>
          <a:off x="11096625" y="2270125"/>
          <a:ext cx="1289007" cy="3028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IN" sz="1400" b="1">
              <a:solidFill>
                <a:schemeClr val="tx1"/>
              </a:solidFill>
              <a:latin typeface="+mj-lt"/>
              <a:ea typeface="+mn-ea"/>
              <a:cs typeface="Times New Roman" panose="02020603050405020304" pitchFamily="18" charset="0"/>
            </a:rPr>
            <a:t>Profit Margin</a:t>
          </a:r>
        </a:p>
      </xdr:txBody>
    </xdr:sp>
    <xdr:clientData/>
  </xdr:oneCellAnchor>
  <xdr:oneCellAnchor>
    <xdr:from>
      <xdr:col>1</xdr:col>
      <xdr:colOff>523875</xdr:colOff>
      <xdr:row>13</xdr:row>
      <xdr:rowOff>47625</xdr:rowOff>
    </xdr:from>
    <xdr:ext cx="1119665" cy="280205"/>
    <xdr:sp macro="" textlink="'Pivot Table'!$B$4">
      <xdr:nvSpPr>
        <xdr:cNvPr id="40" name="TextBox 39">
          <a:extLst>
            <a:ext uri="{FF2B5EF4-FFF2-40B4-BE49-F238E27FC236}">
              <a16:creationId xmlns:a16="http://schemas.microsoft.com/office/drawing/2014/main" id="{5087856E-0AEE-4D84-89C7-3AE0930E6ED0}"/>
            </a:ext>
          </a:extLst>
        </xdr:cNvPr>
        <xdr:cNvSpPr txBox="1"/>
      </xdr:nvSpPr>
      <xdr:spPr>
        <a:xfrm>
          <a:off x="1127125" y="2524125"/>
          <a:ext cx="111966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552886D8-8B01-4EBF-9C32-5FCE75470BE7}" type="TxLink">
            <a:rPr lang="en-US" sz="1200" b="1" i="0" u="none" strike="noStrike">
              <a:solidFill>
                <a:srgbClr val="000000"/>
              </a:solidFill>
              <a:latin typeface="+mn-lt"/>
              <a:cs typeface="Times New Roman" panose="02020603050405020304" pitchFamily="18" charset="0"/>
            </a:rPr>
            <a:pPr/>
            <a:t>₹ 26,29,364.55</a:t>
          </a:fld>
          <a:endParaRPr lang="en-IN" sz="1200" b="1">
            <a:latin typeface="+mn-lt"/>
            <a:cs typeface="Times New Roman" panose="02020603050405020304" pitchFamily="18" charset="0"/>
          </a:endParaRPr>
        </a:p>
      </xdr:txBody>
    </xdr:sp>
    <xdr:clientData/>
  </xdr:oneCellAnchor>
  <xdr:oneCellAnchor>
    <xdr:from>
      <xdr:col>6</xdr:col>
      <xdr:colOff>95250</xdr:colOff>
      <xdr:row>13</xdr:row>
      <xdr:rowOff>63500</xdr:rowOff>
    </xdr:from>
    <xdr:ext cx="1041695" cy="280205"/>
    <xdr:sp macro="" textlink="'Pivot Table'!$B$7">
      <xdr:nvSpPr>
        <xdr:cNvPr id="41" name="TextBox 40">
          <a:extLst>
            <a:ext uri="{FF2B5EF4-FFF2-40B4-BE49-F238E27FC236}">
              <a16:creationId xmlns:a16="http://schemas.microsoft.com/office/drawing/2014/main" id="{E203B084-A2F9-4804-8894-37E975D92120}"/>
            </a:ext>
          </a:extLst>
        </xdr:cNvPr>
        <xdr:cNvSpPr txBox="1"/>
      </xdr:nvSpPr>
      <xdr:spPr>
        <a:xfrm>
          <a:off x="3714750" y="2540000"/>
          <a:ext cx="104169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BAA60397-0A3F-435C-9EF7-C046C9B08C66}" type="TxLink">
            <a:rPr lang="en-US" sz="1200" b="1" i="0" u="none" strike="noStrike">
              <a:solidFill>
                <a:srgbClr val="000000"/>
              </a:solidFill>
              <a:latin typeface="+mn-lt"/>
              <a:ea typeface="+mn-ea"/>
              <a:cs typeface="Times New Roman" panose="02020603050405020304" pitchFamily="18" charset="0"/>
            </a:rPr>
            <a:pPr marL="0" indent="0"/>
            <a:t>₹ 7,80,003.52</a:t>
          </a:fld>
          <a:endParaRPr lang="en-IN" sz="1200" b="1" i="0" u="none" strike="noStrike">
            <a:solidFill>
              <a:srgbClr val="000000"/>
            </a:solidFill>
            <a:latin typeface="+mn-lt"/>
            <a:ea typeface="+mn-ea"/>
            <a:cs typeface="Times New Roman" panose="02020603050405020304" pitchFamily="18" charset="0"/>
          </a:endParaRPr>
        </a:p>
      </xdr:txBody>
    </xdr:sp>
    <xdr:clientData/>
  </xdr:oneCellAnchor>
  <xdr:oneCellAnchor>
    <xdr:from>
      <xdr:col>10</xdr:col>
      <xdr:colOff>460375</xdr:colOff>
      <xdr:row>13</xdr:row>
      <xdr:rowOff>47625</xdr:rowOff>
    </xdr:from>
    <xdr:ext cx="340606" cy="280205"/>
    <xdr:sp macro="" textlink="'Pivot Table'!$B$10">
      <xdr:nvSpPr>
        <xdr:cNvPr id="42" name="TextBox 41">
          <a:extLst>
            <a:ext uri="{FF2B5EF4-FFF2-40B4-BE49-F238E27FC236}">
              <a16:creationId xmlns:a16="http://schemas.microsoft.com/office/drawing/2014/main" id="{8552ABE8-CCE8-4792-904E-24156FEC72B4}"/>
            </a:ext>
          </a:extLst>
        </xdr:cNvPr>
        <xdr:cNvSpPr txBox="1"/>
      </xdr:nvSpPr>
      <xdr:spPr>
        <a:xfrm>
          <a:off x="6492875" y="2524125"/>
          <a:ext cx="34060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FE20680A-A915-45B5-BA81-BD9A5F4121ED}" type="TxLink">
            <a:rPr lang="en-US" sz="1200" b="1" i="0" u="none" strike="noStrike">
              <a:solidFill>
                <a:srgbClr val="000000"/>
              </a:solidFill>
              <a:latin typeface="+mn-lt"/>
              <a:ea typeface="+mn-ea"/>
              <a:cs typeface="Times New Roman" panose="02020603050405020304" pitchFamily="18" charset="0"/>
            </a:rPr>
            <a:pPr marL="0" indent="0"/>
            <a:t>80</a:t>
          </a:fld>
          <a:endParaRPr lang="en-IN" sz="1200" b="1" i="0" u="none" strike="noStrike">
            <a:solidFill>
              <a:srgbClr val="000000"/>
            </a:solidFill>
            <a:latin typeface="+mn-lt"/>
            <a:ea typeface="+mn-ea"/>
            <a:cs typeface="Times New Roman" panose="02020603050405020304" pitchFamily="18" charset="0"/>
          </a:endParaRPr>
        </a:p>
      </xdr:txBody>
    </xdr:sp>
    <xdr:clientData/>
  </xdr:oneCellAnchor>
  <xdr:oneCellAnchor>
    <xdr:from>
      <xdr:col>14</xdr:col>
      <xdr:colOff>571500</xdr:colOff>
      <xdr:row>13</xdr:row>
      <xdr:rowOff>63500</xdr:rowOff>
    </xdr:from>
    <xdr:ext cx="340606" cy="280205"/>
    <xdr:sp macro="" textlink="'Pivot Table'!$B$13">
      <xdr:nvSpPr>
        <xdr:cNvPr id="43" name="TextBox 42">
          <a:extLst>
            <a:ext uri="{FF2B5EF4-FFF2-40B4-BE49-F238E27FC236}">
              <a16:creationId xmlns:a16="http://schemas.microsoft.com/office/drawing/2014/main" id="{0813836C-A41E-4E55-B4CA-D2BAE8B9937D}"/>
            </a:ext>
          </a:extLst>
        </xdr:cNvPr>
        <xdr:cNvSpPr txBox="1"/>
      </xdr:nvSpPr>
      <xdr:spPr>
        <a:xfrm>
          <a:off x="9017000" y="2540000"/>
          <a:ext cx="34060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E2C22C97-9C84-46A5-A504-FC13FDB2FB0A}" type="TxLink">
            <a:rPr lang="en-US" sz="1200" b="1" i="0" u="none" strike="noStrike">
              <a:solidFill>
                <a:srgbClr val="000000"/>
              </a:solidFill>
              <a:latin typeface="+mn-lt"/>
              <a:ea typeface="+mn-ea"/>
              <a:cs typeface="Times New Roman" panose="02020603050405020304" pitchFamily="18" charset="0"/>
            </a:rPr>
            <a:pPr marL="0" indent="0"/>
            <a:t>79</a:t>
          </a:fld>
          <a:endParaRPr lang="en-IN" sz="1200" b="1" i="0" u="none" strike="noStrike">
            <a:solidFill>
              <a:srgbClr val="000000"/>
            </a:solidFill>
            <a:latin typeface="+mn-lt"/>
            <a:ea typeface="+mn-ea"/>
            <a:cs typeface="Times New Roman" panose="02020603050405020304" pitchFamily="18" charset="0"/>
          </a:endParaRPr>
        </a:p>
      </xdr:txBody>
    </xdr:sp>
    <xdr:clientData/>
  </xdr:oneCellAnchor>
  <xdr:oneCellAnchor>
    <xdr:from>
      <xdr:col>18</xdr:col>
      <xdr:colOff>587375</xdr:colOff>
      <xdr:row>13</xdr:row>
      <xdr:rowOff>63500</xdr:rowOff>
    </xdr:from>
    <xdr:ext cx="649858" cy="280205"/>
    <xdr:sp macro="" textlink="'Pivot Table'!$B$16">
      <xdr:nvSpPr>
        <xdr:cNvPr id="44" name="TextBox 43">
          <a:extLst>
            <a:ext uri="{FF2B5EF4-FFF2-40B4-BE49-F238E27FC236}">
              <a16:creationId xmlns:a16="http://schemas.microsoft.com/office/drawing/2014/main" id="{03405BB8-A772-4A7F-AEE4-51417FB111F6}"/>
            </a:ext>
          </a:extLst>
        </xdr:cNvPr>
        <xdr:cNvSpPr txBox="1"/>
      </xdr:nvSpPr>
      <xdr:spPr>
        <a:xfrm>
          <a:off x="11445875" y="2540000"/>
          <a:ext cx="649858"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fld id="{BD1B1428-DAF7-4E0F-B1FD-2FB9E89531E8}" type="TxLink">
            <a:rPr lang="en-US" sz="1200" b="1" i="0" u="none" strike="noStrike">
              <a:solidFill>
                <a:srgbClr val="000000"/>
              </a:solidFill>
              <a:latin typeface="+mn-lt"/>
              <a:ea typeface="+mn-ea"/>
              <a:cs typeface="Times New Roman" panose="02020603050405020304" pitchFamily="18" charset="0"/>
            </a:rPr>
            <a:pPr marL="0" indent="0"/>
            <a:t>29.67%</a:t>
          </a:fld>
          <a:endParaRPr lang="en-IN" sz="1200" b="1" i="0" u="none" strike="noStrike">
            <a:solidFill>
              <a:srgbClr val="000000"/>
            </a:solidFill>
            <a:latin typeface="+mn-lt"/>
            <a:ea typeface="+mn-ea"/>
            <a:cs typeface="Times New Roman" panose="02020603050405020304" pitchFamily="18" charset="0"/>
          </a:endParaRPr>
        </a:p>
      </xdr:txBody>
    </xdr:sp>
    <xdr:clientData/>
  </xdr:oneCellAnchor>
  <xdr:twoCellAnchor>
    <xdr:from>
      <xdr:col>0</xdr:col>
      <xdr:colOff>377823</xdr:colOff>
      <xdr:row>16</xdr:row>
      <xdr:rowOff>104772</xdr:rowOff>
    </xdr:from>
    <xdr:to>
      <xdr:col>8</xdr:col>
      <xdr:colOff>396875</xdr:colOff>
      <xdr:row>29</xdr:row>
      <xdr:rowOff>76272</xdr:rowOff>
    </xdr:to>
    <xdr:graphicFrame macro="">
      <xdr:nvGraphicFramePr>
        <xdr:cNvPr id="45" name="Chart 44">
          <a:extLst>
            <a:ext uri="{FF2B5EF4-FFF2-40B4-BE49-F238E27FC236}">
              <a16:creationId xmlns:a16="http://schemas.microsoft.com/office/drawing/2014/main" id="{17F063BE-FC44-4EC1-BF5A-C427B2FF1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507999</xdr:colOff>
      <xdr:row>16</xdr:row>
      <xdr:rowOff>111125</xdr:rowOff>
    </xdr:from>
    <xdr:to>
      <xdr:col>15</xdr:col>
      <xdr:colOff>111124</xdr:colOff>
      <xdr:row>29</xdr:row>
      <xdr:rowOff>82625</xdr:rowOff>
    </xdr:to>
    <xdr:graphicFrame macro="">
      <xdr:nvGraphicFramePr>
        <xdr:cNvPr id="46" name="Chart 45">
          <a:extLst>
            <a:ext uri="{FF2B5EF4-FFF2-40B4-BE49-F238E27FC236}">
              <a16:creationId xmlns:a16="http://schemas.microsoft.com/office/drawing/2014/main" id="{A0E394AE-8D29-48B6-B2E1-8521B18F1B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206375</xdr:colOff>
      <xdr:row>16</xdr:row>
      <xdr:rowOff>111125</xdr:rowOff>
    </xdr:from>
    <xdr:to>
      <xdr:col>20</xdr:col>
      <xdr:colOff>523874</xdr:colOff>
      <xdr:row>29</xdr:row>
      <xdr:rowOff>82625</xdr:rowOff>
    </xdr:to>
    <xdr:graphicFrame macro="">
      <xdr:nvGraphicFramePr>
        <xdr:cNvPr id="47" name="Chart 46">
          <a:extLst>
            <a:ext uri="{FF2B5EF4-FFF2-40B4-BE49-F238E27FC236}">
              <a16:creationId xmlns:a16="http://schemas.microsoft.com/office/drawing/2014/main" id="{A34B9C3E-20E0-436A-9609-529657105C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476251</xdr:colOff>
      <xdr:row>30</xdr:row>
      <xdr:rowOff>31750</xdr:rowOff>
    </xdr:from>
    <xdr:to>
      <xdr:col>20</xdr:col>
      <xdr:colOff>508001</xdr:colOff>
      <xdr:row>43</xdr:row>
      <xdr:rowOff>3250</xdr:rowOff>
    </xdr:to>
    <xdr:graphicFrame macro="">
      <xdr:nvGraphicFramePr>
        <xdr:cNvPr id="50" name="Chart 49">
          <a:extLst>
            <a:ext uri="{FF2B5EF4-FFF2-40B4-BE49-F238E27FC236}">
              <a16:creationId xmlns:a16="http://schemas.microsoft.com/office/drawing/2014/main" id="{6967B105-5003-40B6-913C-C4AA3E0BE4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381000</xdr:colOff>
      <xdr:row>30</xdr:row>
      <xdr:rowOff>0</xdr:rowOff>
    </xdr:from>
    <xdr:to>
      <xdr:col>7</xdr:col>
      <xdr:colOff>301625</xdr:colOff>
      <xdr:row>42</xdr:row>
      <xdr:rowOff>162000</xdr:rowOff>
    </xdr:to>
    <xdr:graphicFrame macro="">
      <xdr:nvGraphicFramePr>
        <xdr:cNvPr id="51" name="Chart 50">
          <a:extLst>
            <a:ext uri="{FF2B5EF4-FFF2-40B4-BE49-F238E27FC236}">
              <a16:creationId xmlns:a16="http://schemas.microsoft.com/office/drawing/2014/main" id="{4EE436C6-0F83-423A-82FE-C28D345AE7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428626</xdr:colOff>
      <xdr:row>30</xdr:row>
      <xdr:rowOff>15875</xdr:rowOff>
    </xdr:from>
    <xdr:to>
      <xdr:col>13</xdr:col>
      <xdr:colOff>365126</xdr:colOff>
      <xdr:row>42</xdr:row>
      <xdr:rowOff>177875</xdr:rowOff>
    </xdr:to>
    <xdr:graphicFrame macro="">
      <xdr:nvGraphicFramePr>
        <xdr:cNvPr id="52" name="Chart 51">
          <a:extLst>
            <a:ext uri="{FF2B5EF4-FFF2-40B4-BE49-F238E27FC236}">
              <a16:creationId xmlns:a16="http://schemas.microsoft.com/office/drawing/2014/main" id="{EA3D9EF0-4B47-46DC-AE25-772B2588FD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8</xdr:col>
      <xdr:colOff>571500</xdr:colOff>
      <xdr:row>12</xdr:row>
      <xdr:rowOff>47625</xdr:rowOff>
    </xdr:from>
    <xdr:to>
      <xdr:col>9</xdr:col>
      <xdr:colOff>460375</xdr:colOff>
      <xdr:row>14</xdr:row>
      <xdr:rowOff>158750</xdr:rowOff>
    </xdr:to>
    <xdr:pic>
      <xdr:nvPicPr>
        <xdr:cNvPr id="4" name="Graphic 3" descr="Checklist with solid fill">
          <a:extLst>
            <a:ext uri="{FF2B5EF4-FFF2-40B4-BE49-F238E27FC236}">
              <a16:creationId xmlns:a16="http://schemas.microsoft.com/office/drawing/2014/main" id="{F9870A12-F2FD-4BB7-981F-9A7F60EBC0BB}"/>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5397500" y="2333625"/>
          <a:ext cx="492125" cy="492125"/>
        </a:xfrm>
        <a:prstGeom prst="rect">
          <a:avLst/>
        </a:prstGeom>
      </xdr:spPr>
    </xdr:pic>
    <xdr:clientData/>
  </xdr:twoCellAnchor>
  <xdr:twoCellAnchor editAs="oneCell">
    <xdr:from>
      <xdr:col>4</xdr:col>
      <xdr:colOff>562751</xdr:colOff>
      <xdr:row>12</xdr:row>
      <xdr:rowOff>70626</xdr:rowOff>
    </xdr:from>
    <xdr:to>
      <xdr:col>5</xdr:col>
      <xdr:colOff>412750</xdr:colOff>
      <xdr:row>14</xdr:row>
      <xdr:rowOff>142875</xdr:rowOff>
    </xdr:to>
    <xdr:pic>
      <xdr:nvPicPr>
        <xdr:cNvPr id="9" name="Graphic 8" descr="Coins with solid fill">
          <a:extLst>
            <a:ext uri="{FF2B5EF4-FFF2-40B4-BE49-F238E27FC236}">
              <a16:creationId xmlns:a16="http://schemas.microsoft.com/office/drawing/2014/main" id="{2659FF36-AE5D-4899-B76E-2DE0D197010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2975751" y="2356626"/>
          <a:ext cx="453249" cy="453249"/>
        </a:xfrm>
        <a:prstGeom prst="rect">
          <a:avLst/>
        </a:prstGeom>
      </xdr:spPr>
    </xdr:pic>
    <xdr:clientData/>
  </xdr:twoCellAnchor>
  <xdr:twoCellAnchor editAs="oneCell">
    <xdr:from>
      <xdr:col>13</xdr:col>
      <xdr:colOff>47625</xdr:colOff>
      <xdr:row>12</xdr:row>
      <xdr:rowOff>47624</xdr:rowOff>
    </xdr:from>
    <xdr:to>
      <xdr:col>13</xdr:col>
      <xdr:colOff>508000</xdr:colOff>
      <xdr:row>15</xdr:row>
      <xdr:rowOff>33996</xdr:rowOff>
    </xdr:to>
    <xdr:pic>
      <xdr:nvPicPr>
        <xdr:cNvPr id="17" name="Graphic 16" descr="Users with solid fill">
          <a:extLst>
            <a:ext uri="{FF2B5EF4-FFF2-40B4-BE49-F238E27FC236}">
              <a16:creationId xmlns:a16="http://schemas.microsoft.com/office/drawing/2014/main" id="{974CAB89-4288-41C6-8FBC-FF28C7710F34}"/>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 uri="{96DAC541-7B7A-43D3-8B79-37D633B846F1}">
              <asvg:svgBlip xmlns:asvg="http://schemas.microsoft.com/office/drawing/2016/SVG/main" r:embed="rId14"/>
            </a:ext>
          </a:extLst>
        </a:blip>
        <a:stretch>
          <a:fillRect/>
        </a:stretch>
      </xdr:blipFill>
      <xdr:spPr>
        <a:xfrm>
          <a:off x="7889875" y="2333624"/>
          <a:ext cx="460375" cy="557872"/>
        </a:xfrm>
        <a:prstGeom prst="rect">
          <a:avLst/>
        </a:prstGeom>
      </xdr:spPr>
    </xdr:pic>
    <xdr:clientData/>
  </xdr:twoCellAnchor>
  <xdr:twoCellAnchor editAs="oneCell">
    <xdr:from>
      <xdr:col>0</xdr:col>
      <xdr:colOff>539751</xdr:colOff>
      <xdr:row>12</xdr:row>
      <xdr:rowOff>79376</xdr:rowOff>
    </xdr:from>
    <xdr:to>
      <xdr:col>1</xdr:col>
      <xdr:colOff>317500</xdr:colOff>
      <xdr:row>14</xdr:row>
      <xdr:rowOff>79375</xdr:rowOff>
    </xdr:to>
    <xdr:pic>
      <xdr:nvPicPr>
        <xdr:cNvPr id="19" name="Graphic 18" descr="Bar graph with upward trend with solid fill">
          <a:extLst>
            <a:ext uri="{FF2B5EF4-FFF2-40B4-BE49-F238E27FC236}">
              <a16:creationId xmlns:a16="http://schemas.microsoft.com/office/drawing/2014/main" id="{BDF16F8D-26C7-4324-9842-DE0A6AC3DDA1}"/>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r:embed="rId16"/>
            </a:ext>
          </a:extLst>
        </a:blip>
        <a:stretch>
          <a:fillRect/>
        </a:stretch>
      </xdr:blipFill>
      <xdr:spPr>
        <a:xfrm>
          <a:off x="539751" y="2365376"/>
          <a:ext cx="380999" cy="380999"/>
        </a:xfrm>
        <a:prstGeom prst="rect">
          <a:avLst/>
        </a:prstGeom>
      </xdr:spPr>
    </xdr:pic>
    <xdr:clientData/>
  </xdr:twoCellAnchor>
  <xdr:twoCellAnchor editAs="oneCell">
    <xdr:from>
      <xdr:col>9</xdr:col>
      <xdr:colOff>333376</xdr:colOff>
      <xdr:row>36</xdr:row>
      <xdr:rowOff>47626</xdr:rowOff>
    </xdr:from>
    <xdr:to>
      <xdr:col>10</xdr:col>
      <xdr:colOff>142876</xdr:colOff>
      <xdr:row>38</xdr:row>
      <xdr:rowOff>79376</xdr:rowOff>
    </xdr:to>
    <xdr:pic>
      <xdr:nvPicPr>
        <xdr:cNvPr id="28" name="Graphic 27" descr="Money with solid fill">
          <a:extLst>
            <a:ext uri="{FF2B5EF4-FFF2-40B4-BE49-F238E27FC236}">
              <a16:creationId xmlns:a16="http://schemas.microsoft.com/office/drawing/2014/main" id="{554DF3A3-F18A-442B-9369-EF80173FB7F1}"/>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 uri="{96DAC541-7B7A-43D3-8B79-37D633B846F1}">
              <asvg:svgBlip xmlns:asvg="http://schemas.microsoft.com/office/drawing/2016/SVG/main" r:embed="rId18"/>
            </a:ext>
          </a:extLst>
        </a:blip>
        <a:stretch>
          <a:fillRect/>
        </a:stretch>
      </xdr:blipFill>
      <xdr:spPr>
        <a:xfrm>
          <a:off x="5762626" y="6905626"/>
          <a:ext cx="412750" cy="412750"/>
        </a:xfrm>
        <a:prstGeom prst="rect">
          <a:avLst/>
        </a:prstGeom>
      </xdr:spPr>
    </xdr:pic>
    <xdr:clientData/>
  </xdr:twoCellAnchor>
  <xdr:twoCellAnchor editAs="oneCell">
    <xdr:from>
      <xdr:col>17</xdr:col>
      <xdr:colOff>31750</xdr:colOff>
      <xdr:row>23</xdr:row>
      <xdr:rowOff>0</xdr:rowOff>
    </xdr:from>
    <xdr:to>
      <xdr:col>17</xdr:col>
      <xdr:colOff>412750</xdr:colOff>
      <xdr:row>25</xdr:row>
      <xdr:rowOff>0</xdr:rowOff>
    </xdr:to>
    <xdr:pic>
      <xdr:nvPicPr>
        <xdr:cNvPr id="53" name="Graphic 52" descr="Shopping cart with solid fill">
          <a:extLst>
            <a:ext uri="{FF2B5EF4-FFF2-40B4-BE49-F238E27FC236}">
              <a16:creationId xmlns:a16="http://schemas.microsoft.com/office/drawing/2014/main" id="{A91EB73D-80B4-49A7-BA42-BC9813E13C03}"/>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10287000" y="4381500"/>
          <a:ext cx="381000" cy="381000"/>
        </a:xfrm>
        <a:prstGeom prst="rect">
          <a:avLst/>
        </a:prstGeom>
      </xdr:spPr>
    </xdr:pic>
    <xdr:clientData/>
  </xdr:twoCellAnchor>
  <xdr:oneCellAnchor>
    <xdr:from>
      <xdr:col>17</xdr:col>
      <xdr:colOff>492125</xdr:colOff>
      <xdr:row>1</xdr:row>
      <xdr:rowOff>174625</xdr:rowOff>
    </xdr:from>
    <xdr:ext cx="1911164" cy="280205"/>
    <xdr:sp macro="" textlink="">
      <xdr:nvSpPr>
        <xdr:cNvPr id="54" name="TextBox 53">
          <a:extLst>
            <a:ext uri="{FF2B5EF4-FFF2-40B4-BE49-F238E27FC236}">
              <a16:creationId xmlns:a16="http://schemas.microsoft.com/office/drawing/2014/main" id="{343CD689-D41C-4C13-AB17-DEF345B47186}"/>
            </a:ext>
          </a:extLst>
        </xdr:cNvPr>
        <xdr:cNvSpPr txBox="1"/>
      </xdr:nvSpPr>
      <xdr:spPr>
        <a:xfrm>
          <a:off x="10747375" y="365125"/>
          <a:ext cx="191116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0">
              <a:solidFill>
                <a:schemeClr val="bg1"/>
              </a:solidFill>
            </a:rPr>
            <a:t>01</a:t>
          </a:r>
          <a:r>
            <a:rPr lang="en-IN" sz="1200" b="0" baseline="0">
              <a:solidFill>
                <a:schemeClr val="bg1"/>
              </a:solidFill>
            </a:rPr>
            <a:t> Jan 2026  to 30 Jun 2026</a:t>
          </a:r>
          <a:endParaRPr lang="en-IN" sz="1200" b="0">
            <a:solidFill>
              <a:schemeClr val="bg1"/>
            </a:solidFill>
          </a:endParaRPr>
        </a:p>
      </xdr:txBody>
    </xdr:sp>
    <xdr:clientData/>
  </xdr:oneCellAnchor>
  <xdr:twoCellAnchor editAs="oneCell">
    <xdr:from>
      <xdr:col>17</xdr:col>
      <xdr:colOff>206377</xdr:colOff>
      <xdr:row>1</xdr:row>
      <xdr:rowOff>174627</xdr:rowOff>
    </xdr:from>
    <xdr:to>
      <xdr:col>17</xdr:col>
      <xdr:colOff>476251</xdr:colOff>
      <xdr:row>3</xdr:row>
      <xdr:rowOff>63501</xdr:rowOff>
    </xdr:to>
    <xdr:pic>
      <xdr:nvPicPr>
        <xdr:cNvPr id="56" name="Graphic 55" descr="Daily calendar with solid fill">
          <a:extLst>
            <a:ext uri="{FF2B5EF4-FFF2-40B4-BE49-F238E27FC236}">
              <a16:creationId xmlns:a16="http://schemas.microsoft.com/office/drawing/2014/main" id="{8D3C1B64-A78A-4BEB-8E14-99E8FD884696}"/>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 uri="{96DAC541-7B7A-43D3-8B79-37D633B846F1}">
              <asvg:svgBlip xmlns:asvg="http://schemas.microsoft.com/office/drawing/2016/SVG/main" r:embed="rId22"/>
            </a:ext>
          </a:extLst>
        </a:blip>
        <a:stretch>
          <a:fillRect/>
        </a:stretch>
      </xdr:blipFill>
      <xdr:spPr>
        <a:xfrm>
          <a:off x="10461627" y="365127"/>
          <a:ext cx="269874" cy="26987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7.420798726853" backgroundQuery="1" createdVersion="7" refreshedVersion="7" minRefreshableVersion="3" recordCount="0" supportSubquery="1" supportAdvancedDrill="1" xr:uid="{4A6E9FA1-6458-458F-BD86-07134EDDEADA}">
  <cacheSource type="external" connectionId="1"/>
  <cacheFields count="4">
    <cacheField name="[Range].[Order_Date (Month)].[Order_Date (Month)]" caption="Order_Date (Month)" numFmtId="0" hierarchy="16" level="1">
      <sharedItems count="6">
        <s v="Jan"/>
        <s v="Feb"/>
        <s v="Mar"/>
        <s v="Apr"/>
        <s v="May"/>
        <s v="Jun"/>
      </sharedItems>
    </cacheField>
    <cacheField name="[Measures].[Sum of Sales]" caption="Sum of Sales" numFmtId="0" hierarchy="20" level="32767"/>
    <cacheField name="[Measures].[Sum of Profit]" caption="Sum of Profit" numFmtId="0" hierarchy="21" level="32767"/>
    <cacheField name="[Range].[Region].[Region]" caption="Region" numFmtId="0" hierarchy="5" level="1">
      <sharedItems containsSemiMixedTypes="0" containsNonDate="0" containsString="0"/>
    </cacheField>
  </cacheFields>
  <cacheHierarchies count="26">
    <cacheHierarchy uniqueName="[Range].[Order_ID]" caption="Order_ID" attribute="1" defaultMemberUniqueName="[Range].[Order_ID].[All]" allUniqueName="[Range].[Order_ID].[All]" dimensionUniqueName="[Range]" displayFolder="" count="2"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Customer]" caption="Customer" attribute="1" defaultMemberUniqueName="[Range].[Customer].[All]" allUniqueName="[Range].[Customer].[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Quantity]" caption="Quantity" attribute="1" defaultMemberUniqueName="[Range].[Quantity].[All]" allUniqueName="[Range].[Quantity].[All]" dimensionUniqueName="[Range]" displayFolder="" count="2" memberValueDatatype="20" unbalanced="0"/>
    <cacheHierarchy uniqueName="[Range].[Unit_Price]" caption="Unit_Price" attribute="1" defaultMemberUniqueName="[Range].[Unit_Price].[All]" allUniqueName="[Range].[Unit_Price].[All]" dimensionUniqueName="[Range]" displayFolder="" count="2" memberValueDatatype="20" unbalanced="0"/>
    <cacheHierarchy uniqueName="[Range].[Discount_%]" caption="Discount_%" attribute="1" defaultMemberUniqueName="[Range].[Discount_%].[All]" allUniqueName="[Range].[Discount_%].[All]" dimensionUniqueName="[Range]" displayFolder="" count="2"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ales]" caption="Sales" attribute="1" defaultMemberUniqueName="[Range].[Sales].[All]" allUniqueName="[Range].[Sales].[All]" dimensionUniqueName="[Range]" displayFolder="" count="2" memberValueDatatype="5" unbalanced="0"/>
    <cacheHierarchy uniqueName="[Range].[Cost]" caption="Cost" attribute="1" defaultMemberUniqueName="[Range].[Cost].[All]" allUniqueName="[Range].[Cost].[All]" dimensionUniqueName="[Range]" displayFolder="" count="2" memberValueDatatype="5" unbalanced="0"/>
    <cacheHierarchy uniqueName="[Range].[Profit]" caption="Profit" attribute="1" defaultMemberUniqueName="[Range].[Profit].[All]" allUniqueName="[Range].[Profit].[All]" dimensionUniqueName="[Range]" displayFolder="" count="2" memberValueDatatype="5" unbalanced="0"/>
    <cacheHierarchy uniqueName="[Range].[Month]" caption="Month" attribute="1" defaultMemberUniqueName="[Range].[Month].[All]" allUniqueName="[Range].[Month].[All]" dimensionUniqueName="[Range]" displayFolder="" count="2" memberValueDatatype="130" unbalanced="0"/>
    <cacheHierarchy uniqueName="[Range].[Month_No]" caption="Month_No" attribute="1" defaultMemberUniqueName="[Range].[Month_No].[All]" allUniqueName="[Range].[Month_No].[All]" dimensionUniqueName="[Range]" displayFolder="" count="2" memberValueDatatype="20" unbalanced="0"/>
    <cacheHierarchy uniqueName="[Range].[Profit Margin %]" caption="Profit Margin %" attribute="1" defaultMemberUniqueName="[Range].[Profit Margin %].[All]" allUniqueName="[Range].[Profit Margin %].[All]" dimensionUniqueName="[Range]" displayFolder="" count="2" memberValueDatatype="5" unbalanced="0"/>
    <cacheHierarchy uniqueName="[Range].[Order_Date (Month)]" caption="Order_Date (Month)" attribute="1" defaultMemberUniqueName="[Range].[Order_Date (Month)].[All]" allUniqueName="[Range].[Order_Date (Month)].[All]" dimensionUniqueName="[Range]" displayFolder="" count="2" memberValueDatatype="130" unbalanced="0">
      <fieldsUsage count="2">
        <fieldUsage x="-1"/>
        <fieldUsage x="0"/>
      </fieldsUsage>
    </cacheHierarchy>
    <cacheHierarchy uniqueName="[Range].[Order_Date (Month Index)]" caption="Order_Date (Month Index)" attribute="1" defaultMemberUniqueName="[Range].[Order_Date (Month Index)].[All]" allUniqueName="[Range].[Order_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Count of Customer]" caption="Count of Customer"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 caption="Distinct Count of Customer" measure="1" displayFolder="" measureGroup="Range" count="0" hidden="1">
      <extLst>
        <ext xmlns:x15="http://schemas.microsoft.com/office/spreadsheetml/2010/11/main" uri="{B97F6D7D-B522-45F9-BDA1-12C45D357490}">
          <x15:cacheHierarchy aggregatedColumn="2"/>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7.420799305553" backgroundQuery="1" createdVersion="7" refreshedVersion="7" minRefreshableVersion="3" recordCount="0" supportSubquery="1" supportAdvancedDrill="1" xr:uid="{FF97C083-CB3D-4C97-85AB-089BD94BFC26}">
  <cacheSource type="external" connectionId="1"/>
  <cacheFields count="2">
    <cacheField name="[Measures].[Sum of Sales]" caption="Sum of Sales" numFmtId="0" hierarchy="20" level="32767"/>
    <cacheField name="[Range].[Region].[Region]" caption="Region" numFmtId="0" hierarchy="5" level="1">
      <sharedItems count="5">
        <s v="East"/>
        <s v="North"/>
        <s v="South"/>
        <s v="Unknown"/>
        <s v="West"/>
      </sharedItems>
    </cacheField>
  </cacheFields>
  <cacheHierarchies count="26">
    <cacheHierarchy uniqueName="[Range].[Order_ID]" caption="Order_ID" attribute="1" defaultMemberUniqueName="[Range].[Order_ID].[All]" allUniqueName="[Range].[Order_ID].[All]" dimensionUniqueName="[Range]" displayFolder="" count="2"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Customer]" caption="Customer" attribute="1" defaultMemberUniqueName="[Range].[Customer].[All]" allUniqueName="[Range].[Customer].[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Quantity]" caption="Quantity" attribute="1" defaultMemberUniqueName="[Range].[Quantity].[All]" allUniqueName="[Range].[Quantity].[All]" dimensionUniqueName="[Range]" displayFolder="" count="2" memberValueDatatype="20" unbalanced="0"/>
    <cacheHierarchy uniqueName="[Range].[Unit_Price]" caption="Unit_Price" attribute="1" defaultMemberUniqueName="[Range].[Unit_Price].[All]" allUniqueName="[Range].[Unit_Price].[All]" dimensionUniqueName="[Range]" displayFolder="" count="2" memberValueDatatype="20" unbalanced="0"/>
    <cacheHierarchy uniqueName="[Range].[Discount_%]" caption="Discount_%" attribute="1" defaultMemberUniqueName="[Range].[Discount_%].[All]" allUniqueName="[Range].[Discount_%].[All]" dimensionUniqueName="[Range]" displayFolder="" count="2"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ales]" caption="Sales" attribute="1" defaultMemberUniqueName="[Range].[Sales].[All]" allUniqueName="[Range].[Sales].[All]" dimensionUniqueName="[Range]" displayFolder="" count="2" memberValueDatatype="5" unbalanced="0"/>
    <cacheHierarchy uniqueName="[Range].[Cost]" caption="Cost" attribute="1" defaultMemberUniqueName="[Range].[Cost].[All]" allUniqueName="[Range].[Cost].[All]" dimensionUniqueName="[Range]" displayFolder="" count="2" memberValueDatatype="5" unbalanced="0"/>
    <cacheHierarchy uniqueName="[Range].[Profit]" caption="Profit" attribute="1" defaultMemberUniqueName="[Range].[Profit].[All]" allUniqueName="[Range].[Profit].[All]" dimensionUniqueName="[Range]" displayFolder="" count="2" memberValueDatatype="5" unbalanced="0"/>
    <cacheHierarchy uniqueName="[Range].[Month]" caption="Month" attribute="1" defaultMemberUniqueName="[Range].[Month].[All]" allUniqueName="[Range].[Month].[All]" dimensionUniqueName="[Range]" displayFolder="" count="2" memberValueDatatype="130" unbalanced="0"/>
    <cacheHierarchy uniqueName="[Range].[Month_No]" caption="Month_No" attribute="1" defaultMemberUniqueName="[Range].[Month_No].[All]" allUniqueName="[Range].[Month_No].[All]" dimensionUniqueName="[Range]" displayFolder="" count="2" memberValueDatatype="20" unbalanced="0"/>
    <cacheHierarchy uniqueName="[Range].[Profit Margin %]" caption="Profit Margin %" attribute="1" defaultMemberUniqueName="[Range].[Profit Margin %].[All]" allUniqueName="[Range].[Profit Margin %].[All]" dimensionUniqueName="[Range]" displayFolder="" count="2" memberValueDatatype="5" unbalanced="0"/>
    <cacheHierarchy uniqueName="[Range].[Order_Date (Month)]" caption="Order_Date (Month)" attribute="1" defaultMemberUniqueName="[Range].[Order_Date (Month)].[All]" allUniqueName="[Range].[Order_Date (Month)].[All]" dimensionUniqueName="[Range]" displayFolder="" count="2" memberValueDatatype="130" unbalanced="0"/>
    <cacheHierarchy uniqueName="[Range].[Order_Date (Month Index)]" caption="Order_Date (Month Index)" attribute="1" defaultMemberUniqueName="[Range].[Order_Date (Month Index)].[All]" allUniqueName="[Range].[Order_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Count of Customer]" caption="Count of Customer"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 caption="Distinct Count of Customer" measure="1" displayFolder="" measureGroup="Range" count="0" hidden="1">
      <extLst>
        <ext xmlns:x15="http://schemas.microsoft.com/office/spreadsheetml/2010/11/main" uri="{B97F6D7D-B522-45F9-BDA1-12C45D357490}">
          <x15:cacheHierarchy aggregatedColumn="2"/>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7.420799652777" backgroundQuery="1" createdVersion="7" refreshedVersion="7" minRefreshableVersion="3" recordCount="0" supportSubquery="1" supportAdvancedDrill="1" xr:uid="{866ABAD9-F057-4B9C-A8CE-C1D2FB9DAE36}">
  <cacheSource type="external" connectionId="1"/>
  <cacheFields count="3">
    <cacheField name="[Measures].[Sum of Sales]" caption="Sum of Sales" numFmtId="0" hierarchy="20" level="32767"/>
    <cacheField name="[Range].[Region].[Region]" caption="Region" numFmtId="0" hierarchy="5" level="1">
      <sharedItems count="5">
        <s v="East"/>
        <s v="North"/>
        <s v="South"/>
        <s v="Unknown"/>
        <s v="West"/>
      </sharedItems>
    </cacheField>
    <cacheField name="[Range].[Category].[Category]" caption="Category" numFmtId="0" hierarchy="4" level="1">
      <sharedItems count="2">
        <s v="Accessories"/>
        <s v="Electronics"/>
      </sharedItems>
    </cacheField>
  </cacheFields>
  <cacheHierarchies count="26">
    <cacheHierarchy uniqueName="[Range].[Order_ID]" caption="Order_ID" attribute="1" defaultMemberUniqueName="[Range].[Order_ID].[All]" allUniqueName="[Range].[Order_ID].[All]" dimensionUniqueName="[Range]" displayFolder="" count="2"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Customer]" caption="Customer" attribute="1" defaultMemberUniqueName="[Range].[Customer].[All]" allUniqueName="[Range].[Customer].[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fieldsUsage count="2">
        <fieldUsage x="-1"/>
        <fieldUsage x="2"/>
      </fieldsUsage>
    </cacheHierarchy>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Quantity]" caption="Quantity" attribute="1" defaultMemberUniqueName="[Range].[Quantity].[All]" allUniqueName="[Range].[Quantity].[All]" dimensionUniqueName="[Range]" displayFolder="" count="2" memberValueDatatype="20" unbalanced="0"/>
    <cacheHierarchy uniqueName="[Range].[Unit_Price]" caption="Unit_Price" attribute="1" defaultMemberUniqueName="[Range].[Unit_Price].[All]" allUniqueName="[Range].[Unit_Price].[All]" dimensionUniqueName="[Range]" displayFolder="" count="2" memberValueDatatype="20" unbalanced="0"/>
    <cacheHierarchy uniqueName="[Range].[Discount_%]" caption="Discount_%" attribute="1" defaultMemberUniqueName="[Range].[Discount_%].[All]" allUniqueName="[Range].[Discount_%].[All]" dimensionUniqueName="[Range]" displayFolder="" count="2"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ales]" caption="Sales" attribute="1" defaultMemberUniqueName="[Range].[Sales].[All]" allUniqueName="[Range].[Sales].[All]" dimensionUniqueName="[Range]" displayFolder="" count="2" memberValueDatatype="5" unbalanced="0"/>
    <cacheHierarchy uniqueName="[Range].[Cost]" caption="Cost" attribute="1" defaultMemberUniqueName="[Range].[Cost].[All]" allUniqueName="[Range].[Cost].[All]" dimensionUniqueName="[Range]" displayFolder="" count="2" memberValueDatatype="5" unbalanced="0"/>
    <cacheHierarchy uniqueName="[Range].[Profit]" caption="Profit" attribute="1" defaultMemberUniqueName="[Range].[Profit].[All]" allUniqueName="[Range].[Profit].[All]" dimensionUniqueName="[Range]" displayFolder="" count="2" memberValueDatatype="5" unbalanced="0"/>
    <cacheHierarchy uniqueName="[Range].[Month]" caption="Month" attribute="1" defaultMemberUniqueName="[Range].[Month].[All]" allUniqueName="[Range].[Month].[All]" dimensionUniqueName="[Range]" displayFolder="" count="2" memberValueDatatype="130" unbalanced="0"/>
    <cacheHierarchy uniqueName="[Range].[Month_No]" caption="Month_No" attribute="1" defaultMemberUniqueName="[Range].[Month_No].[All]" allUniqueName="[Range].[Month_No].[All]" dimensionUniqueName="[Range]" displayFolder="" count="2" memberValueDatatype="20" unbalanced="0"/>
    <cacheHierarchy uniqueName="[Range].[Profit Margin %]" caption="Profit Margin %" attribute="1" defaultMemberUniqueName="[Range].[Profit Margin %].[All]" allUniqueName="[Range].[Profit Margin %].[All]" dimensionUniqueName="[Range]" displayFolder="" count="2" memberValueDatatype="5" unbalanced="0"/>
    <cacheHierarchy uniqueName="[Range].[Order_Date (Month)]" caption="Order_Date (Month)" attribute="1" defaultMemberUniqueName="[Range].[Order_Date (Month)].[All]" allUniqueName="[Range].[Order_Date (Month)].[All]" dimensionUniqueName="[Range]" displayFolder="" count="2" memberValueDatatype="130" unbalanced="0"/>
    <cacheHierarchy uniqueName="[Range].[Order_Date (Month Index)]" caption="Order_Date (Month Index)" attribute="1" defaultMemberUniqueName="[Range].[Order_Date (Month Index)].[All]" allUniqueName="[Range].[Order_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Count of Customer]" caption="Count of Customer"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 caption="Distinct Count of Customer" measure="1" displayFolder="" measureGroup="Range" count="0" hidden="1">
      <extLst>
        <ext xmlns:x15="http://schemas.microsoft.com/office/spreadsheetml/2010/11/main" uri="{B97F6D7D-B522-45F9-BDA1-12C45D357490}">
          <x15:cacheHierarchy aggregatedColumn="2"/>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7.4208" backgroundQuery="1" createdVersion="7" refreshedVersion="7" minRefreshableVersion="3" recordCount="0" supportSubquery="1" supportAdvancedDrill="1" xr:uid="{AAC19EA1-B68E-47D8-B538-135381A5D097}">
  <cacheSource type="external" connectionId="1"/>
  <cacheFields count="3">
    <cacheField name="[Range].[Product].[Product]" caption="Product" numFmtId="0" hierarchy="3" level="1">
      <sharedItems count="5">
        <s v="Headset"/>
        <s v="Keyboard"/>
        <s v="Laptop"/>
        <s v="Monitor"/>
        <s v="Mouse"/>
      </sharedItems>
    </cacheField>
    <cacheField name="[Measures].[Sum of Sales]" caption="Sum of Sales" numFmtId="0" hierarchy="20" level="32767"/>
    <cacheField name="[Range].[Region].[Region]" caption="Region" numFmtId="0" hierarchy="5" level="1">
      <sharedItems containsSemiMixedTypes="0" containsNonDate="0" containsString="0"/>
    </cacheField>
  </cacheFields>
  <cacheHierarchies count="26">
    <cacheHierarchy uniqueName="[Range].[Order_ID]" caption="Order_ID" attribute="1" defaultMemberUniqueName="[Range].[Order_ID].[All]" allUniqueName="[Range].[Order_ID].[All]" dimensionUniqueName="[Range]" displayFolder="" count="2"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Customer]" caption="Customer" attribute="1" defaultMemberUniqueName="[Range].[Customer].[All]" allUniqueName="[Range].[Customer].[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Category]" caption="Category" attribute="1" defaultMemberUniqueName="[Range].[Category].[All]" allUniqueName="[Range].[Category].[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Quantity]" caption="Quantity" attribute="1" defaultMemberUniqueName="[Range].[Quantity].[All]" allUniqueName="[Range].[Quantity].[All]" dimensionUniqueName="[Range]" displayFolder="" count="2" memberValueDatatype="20" unbalanced="0"/>
    <cacheHierarchy uniqueName="[Range].[Unit_Price]" caption="Unit_Price" attribute="1" defaultMemberUniqueName="[Range].[Unit_Price].[All]" allUniqueName="[Range].[Unit_Price].[All]" dimensionUniqueName="[Range]" displayFolder="" count="2" memberValueDatatype="20" unbalanced="0"/>
    <cacheHierarchy uniqueName="[Range].[Discount_%]" caption="Discount_%" attribute="1" defaultMemberUniqueName="[Range].[Discount_%].[All]" allUniqueName="[Range].[Discount_%].[All]" dimensionUniqueName="[Range]" displayFolder="" count="2"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ales]" caption="Sales" attribute="1" defaultMemberUniqueName="[Range].[Sales].[All]" allUniqueName="[Range].[Sales].[All]" dimensionUniqueName="[Range]" displayFolder="" count="2" memberValueDatatype="5" unbalanced="0"/>
    <cacheHierarchy uniqueName="[Range].[Cost]" caption="Cost" attribute="1" defaultMemberUniqueName="[Range].[Cost].[All]" allUniqueName="[Range].[Cost].[All]" dimensionUniqueName="[Range]" displayFolder="" count="2" memberValueDatatype="5" unbalanced="0"/>
    <cacheHierarchy uniqueName="[Range].[Profit]" caption="Profit" attribute="1" defaultMemberUniqueName="[Range].[Profit].[All]" allUniqueName="[Range].[Profit].[All]" dimensionUniqueName="[Range]" displayFolder="" count="2" memberValueDatatype="5" unbalanced="0"/>
    <cacheHierarchy uniqueName="[Range].[Month]" caption="Month" attribute="1" defaultMemberUniqueName="[Range].[Month].[All]" allUniqueName="[Range].[Month].[All]" dimensionUniqueName="[Range]" displayFolder="" count="2" memberValueDatatype="130" unbalanced="0"/>
    <cacheHierarchy uniqueName="[Range].[Month_No]" caption="Month_No" attribute="1" defaultMemberUniqueName="[Range].[Month_No].[All]" allUniqueName="[Range].[Month_No].[All]" dimensionUniqueName="[Range]" displayFolder="" count="2" memberValueDatatype="20" unbalanced="0"/>
    <cacheHierarchy uniqueName="[Range].[Profit Margin %]" caption="Profit Margin %" attribute="1" defaultMemberUniqueName="[Range].[Profit Margin %].[All]" allUniqueName="[Range].[Profit Margin %].[All]" dimensionUniqueName="[Range]" displayFolder="" count="2" memberValueDatatype="5" unbalanced="0"/>
    <cacheHierarchy uniqueName="[Range].[Order_Date (Month)]" caption="Order_Date (Month)" attribute="1" defaultMemberUniqueName="[Range].[Order_Date (Month)].[All]" allUniqueName="[Range].[Order_Date (Month)].[All]" dimensionUniqueName="[Range]" displayFolder="" count="2" memberValueDatatype="130" unbalanced="0"/>
    <cacheHierarchy uniqueName="[Range].[Order_Date (Month Index)]" caption="Order_Date (Month Index)" attribute="1" defaultMemberUniqueName="[Range].[Order_Date (Month Index)].[All]" allUniqueName="[Range].[Order_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Count of Customer]" caption="Count of Customer"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 caption="Distinct Count of Customer" measure="1" displayFolder="" measureGroup="Range" count="0" hidden="1">
      <extLst>
        <ext xmlns:x15="http://schemas.microsoft.com/office/spreadsheetml/2010/11/main" uri="{B97F6D7D-B522-45F9-BDA1-12C45D357490}">
          <x15:cacheHierarchy aggregatedColumn="2"/>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7.4208005787" backgroundQuery="1" createdVersion="7" refreshedVersion="7" minRefreshableVersion="3" recordCount="0" supportSubquery="1" supportAdvancedDrill="1" xr:uid="{6551BCDB-5C19-48F6-8D0F-F7DB593C1E76}">
  <cacheSource type="external" connectionId="1"/>
  <cacheFields count="3">
    <cacheField name="[Range].[Product].[Product]" caption="Product" numFmtId="0" hierarchy="3" level="1">
      <sharedItems count="5">
        <s v="Headset"/>
        <s v="Keyboard"/>
        <s v="Laptop"/>
        <s v="Monitor"/>
        <s v="Mouse"/>
      </sharedItems>
    </cacheField>
    <cacheField name="[Measures].[Sum of Sales]" caption="Sum of Sales" numFmtId="0" hierarchy="20" level="32767"/>
    <cacheField name="[Range].[Region].[Region]" caption="Region" numFmtId="0" hierarchy="5" level="1">
      <sharedItems containsSemiMixedTypes="0" containsNonDate="0" containsString="0"/>
    </cacheField>
  </cacheFields>
  <cacheHierarchies count="26">
    <cacheHierarchy uniqueName="[Range].[Order_ID]" caption="Order_ID" attribute="1" defaultMemberUniqueName="[Range].[Order_ID].[All]" allUniqueName="[Range].[Order_ID].[All]" dimensionUniqueName="[Range]" displayFolder="" count="2"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Customer]" caption="Customer" attribute="1" defaultMemberUniqueName="[Range].[Customer].[All]" allUniqueName="[Range].[Customer].[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Category]" caption="Category" attribute="1" defaultMemberUniqueName="[Range].[Category].[All]" allUniqueName="[Range].[Category].[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Quantity]" caption="Quantity" attribute="1" defaultMemberUniqueName="[Range].[Quantity].[All]" allUniqueName="[Range].[Quantity].[All]" dimensionUniqueName="[Range]" displayFolder="" count="2" memberValueDatatype="20" unbalanced="0"/>
    <cacheHierarchy uniqueName="[Range].[Unit_Price]" caption="Unit_Price" attribute="1" defaultMemberUniqueName="[Range].[Unit_Price].[All]" allUniqueName="[Range].[Unit_Price].[All]" dimensionUniqueName="[Range]" displayFolder="" count="2" memberValueDatatype="20" unbalanced="0"/>
    <cacheHierarchy uniqueName="[Range].[Discount_%]" caption="Discount_%" attribute="1" defaultMemberUniqueName="[Range].[Discount_%].[All]" allUniqueName="[Range].[Discount_%].[All]" dimensionUniqueName="[Range]" displayFolder="" count="2"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ales]" caption="Sales" attribute="1" defaultMemberUniqueName="[Range].[Sales].[All]" allUniqueName="[Range].[Sales].[All]" dimensionUniqueName="[Range]" displayFolder="" count="2" memberValueDatatype="5" unbalanced="0"/>
    <cacheHierarchy uniqueName="[Range].[Cost]" caption="Cost" attribute="1" defaultMemberUniqueName="[Range].[Cost].[All]" allUniqueName="[Range].[Cost].[All]" dimensionUniqueName="[Range]" displayFolder="" count="2" memberValueDatatype="5" unbalanced="0"/>
    <cacheHierarchy uniqueName="[Range].[Profit]" caption="Profit" attribute="1" defaultMemberUniqueName="[Range].[Profit].[All]" allUniqueName="[Range].[Profit].[All]" dimensionUniqueName="[Range]" displayFolder="" count="2" memberValueDatatype="5" unbalanced="0"/>
    <cacheHierarchy uniqueName="[Range].[Month]" caption="Month" attribute="1" defaultMemberUniqueName="[Range].[Month].[All]" allUniqueName="[Range].[Month].[All]" dimensionUniqueName="[Range]" displayFolder="" count="2" memberValueDatatype="130" unbalanced="0"/>
    <cacheHierarchy uniqueName="[Range].[Month_No]" caption="Month_No" attribute="1" defaultMemberUniqueName="[Range].[Month_No].[All]" allUniqueName="[Range].[Month_No].[All]" dimensionUniqueName="[Range]" displayFolder="" count="2" memberValueDatatype="20" unbalanced="0"/>
    <cacheHierarchy uniqueName="[Range].[Profit Margin %]" caption="Profit Margin %" attribute="1" defaultMemberUniqueName="[Range].[Profit Margin %].[All]" allUniqueName="[Range].[Profit Margin %].[All]" dimensionUniqueName="[Range]" displayFolder="" count="2" memberValueDatatype="5" unbalanced="0"/>
    <cacheHierarchy uniqueName="[Range].[Order_Date (Month)]" caption="Order_Date (Month)" attribute="1" defaultMemberUniqueName="[Range].[Order_Date (Month)].[All]" allUniqueName="[Range].[Order_Date (Month)].[All]" dimensionUniqueName="[Range]" displayFolder="" count="2" memberValueDatatype="130" unbalanced="0"/>
    <cacheHierarchy uniqueName="[Range].[Order_Date (Month Index)]" caption="Order_Date (Month Index)" attribute="1" defaultMemberUniqueName="[Range].[Order_Date (Month Index)].[All]" allUniqueName="[Range].[Order_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Count of Customer]" caption="Count of Customer"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 caption="Distinct Count of Customer" measure="1" displayFolder="" measureGroup="Range" count="0" hidden="1">
      <extLst>
        <ext xmlns:x15="http://schemas.microsoft.com/office/spreadsheetml/2010/11/main" uri="{B97F6D7D-B522-45F9-BDA1-12C45D357490}">
          <x15:cacheHierarchy aggregatedColumn="2"/>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7.420800925924" backgroundQuery="1" createdVersion="7" refreshedVersion="7" minRefreshableVersion="3" recordCount="0" supportSubquery="1" supportAdvancedDrill="1" xr:uid="{A01C8FCA-ABE6-487A-95FE-90C88EACB950}">
  <cacheSource type="external" connectionId="1"/>
  <cacheFields count="4">
    <cacheField name="[Range].[Product].[Product]" caption="Product" numFmtId="0" hierarchy="3" level="1">
      <sharedItems count="5">
        <s v="Headset"/>
        <s v="Keyboard"/>
        <s v="Laptop"/>
        <s v="Monitor"/>
        <s v="Mouse"/>
      </sharedItems>
    </cacheField>
    <cacheField name="[Measures].[Sum of Profit]" caption="Sum of Profit" numFmtId="0" hierarchy="21" level="32767"/>
    <cacheField name="[Measures].[Sum of Cost]" caption="Sum of Cost" numFmtId="0" hierarchy="25" level="32767"/>
    <cacheField name="[Range].[Region].[Region]" caption="Region" numFmtId="0" hierarchy="5" level="1">
      <sharedItems containsSemiMixedTypes="0" containsNonDate="0" containsString="0"/>
    </cacheField>
  </cacheFields>
  <cacheHierarchies count="26">
    <cacheHierarchy uniqueName="[Range].[Order_ID]" caption="Order_ID" attribute="1" defaultMemberUniqueName="[Range].[Order_ID].[All]" allUniqueName="[Range].[Order_ID].[All]" dimensionUniqueName="[Range]" displayFolder="" count="2"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Customer]" caption="Customer" attribute="1" defaultMemberUniqueName="[Range].[Customer].[All]" allUniqueName="[Range].[Customer].[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Category]" caption="Category" attribute="1" defaultMemberUniqueName="[Range].[Category].[All]" allUniqueName="[Range].[Category].[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3"/>
      </fieldsUsage>
    </cacheHierarchy>
    <cacheHierarchy uniqueName="[Range].[Quantity]" caption="Quantity" attribute="1" defaultMemberUniqueName="[Range].[Quantity].[All]" allUniqueName="[Range].[Quantity].[All]" dimensionUniqueName="[Range]" displayFolder="" count="2" memberValueDatatype="20" unbalanced="0"/>
    <cacheHierarchy uniqueName="[Range].[Unit_Price]" caption="Unit_Price" attribute="1" defaultMemberUniqueName="[Range].[Unit_Price].[All]" allUniqueName="[Range].[Unit_Price].[All]" dimensionUniqueName="[Range]" displayFolder="" count="2" memberValueDatatype="20" unbalanced="0"/>
    <cacheHierarchy uniqueName="[Range].[Discount_%]" caption="Discount_%" attribute="1" defaultMemberUniqueName="[Range].[Discount_%].[All]" allUniqueName="[Range].[Discount_%].[All]" dimensionUniqueName="[Range]" displayFolder="" count="2"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ales]" caption="Sales" attribute="1" defaultMemberUniqueName="[Range].[Sales].[All]" allUniqueName="[Range].[Sales].[All]" dimensionUniqueName="[Range]" displayFolder="" count="2" memberValueDatatype="5" unbalanced="0"/>
    <cacheHierarchy uniqueName="[Range].[Cost]" caption="Cost" attribute="1" defaultMemberUniqueName="[Range].[Cost].[All]" allUniqueName="[Range].[Cost].[All]" dimensionUniqueName="[Range]" displayFolder="" count="2" memberValueDatatype="5" unbalanced="0"/>
    <cacheHierarchy uniqueName="[Range].[Profit]" caption="Profit" attribute="1" defaultMemberUniqueName="[Range].[Profit].[All]" allUniqueName="[Range].[Profit].[All]" dimensionUniqueName="[Range]" displayFolder="" count="2" memberValueDatatype="5" unbalanced="0"/>
    <cacheHierarchy uniqueName="[Range].[Month]" caption="Month" attribute="1" defaultMemberUniqueName="[Range].[Month].[All]" allUniqueName="[Range].[Month].[All]" dimensionUniqueName="[Range]" displayFolder="" count="2" memberValueDatatype="130" unbalanced="0"/>
    <cacheHierarchy uniqueName="[Range].[Month_No]" caption="Month_No" attribute="1" defaultMemberUniqueName="[Range].[Month_No].[All]" allUniqueName="[Range].[Month_No].[All]" dimensionUniqueName="[Range]" displayFolder="" count="2" memberValueDatatype="20" unbalanced="0"/>
    <cacheHierarchy uniqueName="[Range].[Profit Margin %]" caption="Profit Margin %" attribute="1" defaultMemberUniqueName="[Range].[Profit Margin %].[All]" allUniqueName="[Range].[Profit Margin %].[All]" dimensionUniqueName="[Range]" displayFolder="" count="2" memberValueDatatype="5" unbalanced="0"/>
    <cacheHierarchy uniqueName="[Range].[Order_Date (Month)]" caption="Order_Date (Month)" attribute="1" defaultMemberUniqueName="[Range].[Order_Date (Month)].[All]" allUniqueName="[Range].[Order_Date (Month)].[All]" dimensionUniqueName="[Range]" displayFolder="" count="2" memberValueDatatype="130" unbalanced="0"/>
    <cacheHierarchy uniqueName="[Range].[Order_Date (Month Index)]" caption="Order_Date (Month Index)" attribute="1" defaultMemberUniqueName="[Range].[Order_Date (Month Index)].[All]" allUniqueName="[Range].[Order_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Count of Customer]" caption="Count of Customer"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 caption="Distinct Count of Customer" measure="1" displayFolder="" measureGroup="Range" count="0" hidden="1">
      <extLst>
        <ext xmlns:x15="http://schemas.microsoft.com/office/spreadsheetml/2010/11/main" uri="{B97F6D7D-B522-45F9-BDA1-12C45D357490}">
          <x15:cacheHierarchy aggregatedColumn="2"/>
        </ext>
      </extLst>
    </cacheHierarchy>
    <cacheHierarchy uniqueName="[Measures].[Sum of Cost]" caption="Sum of Cost" measure="1" displayFolder="" measureGroup="Range" count="0" oneField="1" hidden="1">
      <fieldsUsage count="1">
        <fieldUsage x="2"/>
      </fieldsUsage>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7.420801273147" backgroundQuery="1" createdVersion="7" refreshedVersion="7" minRefreshableVersion="3" recordCount="0" supportSubquery="1" supportAdvancedDrill="1" xr:uid="{C0A54570-BAD7-4BD2-BEBC-60402DE48A62}">
  <cacheSource type="external" connectionId="1"/>
  <cacheFields count="3">
    <cacheField name="[Measures].[Sum of Sales]" caption="Sum of Sales" numFmtId="0" hierarchy="20" level="32767"/>
    <cacheField name="[Range].[Region].[Region]" caption="Region" numFmtId="0" hierarchy="5" level="1">
      <sharedItems count="5">
        <s v="East"/>
        <s v="North"/>
        <s v="South"/>
        <s v="Unknown"/>
        <s v="West"/>
      </sharedItems>
    </cacheField>
    <cacheField name="[Range].[Product].[Product]" caption="Product" numFmtId="0" hierarchy="3" level="1">
      <sharedItems count="5">
        <s v="Headset"/>
        <s v="Keyboard"/>
        <s v="Laptop"/>
        <s v="Monitor"/>
        <s v="Mouse"/>
      </sharedItems>
    </cacheField>
  </cacheFields>
  <cacheHierarchies count="26">
    <cacheHierarchy uniqueName="[Range].[Order_ID]" caption="Order_ID" attribute="1" defaultMemberUniqueName="[Range].[Order_ID].[All]" allUniqueName="[Range].[Order_ID].[All]" dimensionUniqueName="[Range]" displayFolder="" count="2"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Customer]" caption="Customer" attribute="1" defaultMemberUniqueName="[Range].[Customer].[All]" allUniqueName="[Range].[Customer].[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2"/>
      </fieldsUsage>
    </cacheHierarchy>
    <cacheHierarchy uniqueName="[Range].[Category]" caption="Category" attribute="1" defaultMemberUniqueName="[Range].[Category].[All]" allUniqueName="[Range].[Category].[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Quantity]" caption="Quantity" attribute="1" defaultMemberUniqueName="[Range].[Quantity].[All]" allUniqueName="[Range].[Quantity].[All]" dimensionUniqueName="[Range]" displayFolder="" count="2" memberValueDatatype="20" unbalanced="0"/>
    <cacheHierarchy uniqueName="[Range].[Unit_Price]" caption="Unit_Price" attribute="1" defaultMemberUniqueName="[Range].[Unit_Price].[All]" allUniqueName="[Range].[Unit_Price].[All]" dimensionUniqueName="[Range]" displayFolder="" count="2" memberValueDatatype="20" unbalanced="0"/>
    <cacheHierarchy uniqueName="[Range].[Discount_%]" caption="Discount_%" attribute="1" defaultMemberUniqueName="[Range].[Discount_%].[All]" allUniqueName="[Range].[Discount_%].[All]" dimensionUniqueName="[Range]" displayFolder="" count="2"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ales]" caption="Sales" attribute="1" defaultMemberUniqueName="[Range].[Sales].[All]" allUniqueName="[Range].[Sales].[All]" dimensionUniqueName="[Range]" displayFolder="" count="2" memberValueDatatype="5" unbalanced="0"/>
    <cacheHierarchy uniqueName="[Range].[Cost]" caption="Cost" attribute="1" defaultMemberUniqueName="[Range].[Cost].[All]" allUniqueName="[Range].[Cost].[All]" dimensionUniqueName="[Range]" displayFolder="" count="2" memberValueDatatype="5" unbalanced="0"/>
    <cacheHierarchy uniqueName="[Range].[Profit]" caption="Profit" attribute="1" defaultMemberUniqueName="[Range].[Profit].[All]" allUniqueName="[Range].[Profit].[All]" dimensionUniqueName="[Range]" displayFolder="" count="2" memberValueDatatype="5" unbalanced="0"/>
    <cacheHierarchy uniqueName="[Range].[Month]" caption="Month" attribute="1" defaultMemberUniqueName="[Range].[Month].[All]" allUniqueName="[Range].[Month].[All]" dimensionUniqueName="[Range]" displayFolder="" count="2" memberValueDatatype="130" unbalanced="0"/>
    <cacheHierarchy uniqueName="[Range].[Month_No]" caption="Month_No" attribute="1" defaultMemberUniqueName="[Range].[Month_No].[All]" allUniqueName="[Range].[Month_No].[All]" dimensionUniqueName="[Range]" displayFolder="" count="2" memberValueDatatype="20" unbalanced="0"/>
    <cacheHierarchy uniqueName="[Range].[Profit Margin %]" caption="Profit Margin %" attribute="1" defaultMemberUniqueName="[Range].[Profit Margin %].[All]" allUniqueName="[Range].[Profit Margin %].[All]" dimensionUniqueName="[Range]" displayFolder="" count="2" memberValueDatatype="5" unbalanced="0"/>
    <cacheHierarchy uniqueName="[Range].[Order_Date (Month)]" caption="Order_Date (Month)" attribute="1" defaultMemberUniqueName="[Range].[Order_Date (Month)].[All]" allUniqueName="[Range].[Order_Date (Month)].[All]" dimensionUniqueName="[Range]" displayFolder="" count="2" memberValueDatatype="130" unbalanced="0"/>
    <cacheHierarchy uniqueName="[Range].[Order_Date (Month Index)]" caption="Order_Date (Month Index)" attribute="1" defaultMemberUniqueName="[Range].[Order_Date (Month Index)].[All]" allUniqueName="[Range].[Order_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Count of Customer]" caption="Count of Customer"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 caption="Distinct Count of Customer" measure="1" displayFolder="" measureGroup="Range" count="0" hidden="1">
      <extLst>
        <ext xmlns:x15="http://schemas.microsoft.com/office/spreadsheetml/2010/11/main" uri="{B97F6D7D-B522-45F9-BDA1-12C45D357490}">
          <x15:cacheHierarchy aggregatedColumn="2"/>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7.42080162037" backgroundQuery="1" createdVersion="7" refreshedVersion="7" minRefreshableVersion="3" recordCount="0" supportSubquery="1" supportAdvancedDrill="1" xr:uid="{A41D6E9C-7A9A-4D0E-B368-370ECB09FF01}">
  <cacheSource type="external" connectionId="1"/>
  <cacheFields count="3">
    <cacheField name="[Range].[Payment_Mode].[Payment_Mode]" caption="Payment_Mode" numFmtId="0" hierarchy="9" level="1">
      <sharedItems count="4">
        <s v="Card"/>
        <s v="Cash"/>
        <s v="Net Banking"/>
        <s v="UPI"/>
      </sharedItems>
    </cacheField>
    <cacheField name="[Measures].[Sum of Sales]" caption="Sum of Sales" numFmtId="0" hierarchy="20" level="32767"/>
    <cacheField name="[Range].[Region].[Region]" caption="Region" numFmtId="0" hierarchy="5" level="1">
      <sharedItems containsSemiMixedTypes="0" containsNonDate="0" containsString="0"/>
    </cacheField>
  </cacheFields>
  <cacheHierarchies count="26">
    <cacheHierarchy uniqueName="[Range].[Order_ID]" caption="Order_ID" attribute="1" defaultMemberUniqueName="[Range].[Order_ID].[All]" allUniqueName="[Range].[Order_ID].[All]" dimensionUniqueName="[Range]" displayFolder="" count="2" memberValueDatatype="130" unbalanced="0"/>
    <cacheHierarchy uniqueName="[Range].[Order_Date]" caption="Order_Date" attribute="1" time="1" defaultMemberUniqueName="[Range].[Order_Date].[All]" allUniqueName="[Range].[Order_Date].[All]" dimensionUniqueName="[Range]" displayFolder="" count="2" memberValueDatatype="7" unbalanced="0"/>
    <cacheHierarchy uniqueName="[Range].[Customer]" caption="Customer" attribute="1" defaultMemberUniqueName="[Range].[Customer].[All]" allUniqueName="[Range].[Customer].[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2"/>
      </fieldsUsage>
    </cacheHierarchy>
    <cacheHierarchy uniqueName="[Range].[Quantity]" caption="Quantity" attribute="1" defaultMemberUniqueName="[Range].[Quantity].[All]" allUniqueName="[Range].[Quantity].[All]" dimensionUniqueName="[Range]" displayFolder="" count="2" memberValueDatatype="20" unbalanced="0"/>
    <cacheHierarchy uniqueName="[Range].[Unit_Price]" caption="Unit_Price" attribute="1" defaultMemberUniqueName="[Range].[Unit_Price].[All]" allUniqueName="[Range].[Unit_Price].[All]" dimensionUniqueName="[Range]" displayFolder="" count="2" memberValueDatatype="20" unbalanced="0"/>
    <cacheHierarchy uniqueName="[Range].[Discount_%]" caption="Discount_%" attribute="1" defaultMemberUniqueName="[Range].[Discount_%].[All]" allUniqueName="[Range].[Discount_%].[All]" dimensionUniqueName="[Range]" displayFolder="" count="2" memberValueDatatype="20" unbalanced="0"/>
    <cacheHierarchy uniqueName="[Range].[Payment_Mode]" caption="Payment_Mode" attribute="1" defaultMemberUniqueName="[Range].[Payment_Mode].[All]" allUniqueName="[Range].[Payment_Mode].[All]" dimensionUniqueName="[Range]" displayFolder="" count="2" memberValueDatatype="130" unbalanced="0">
      <fieldsUsage count="2">
        <fieldUsage x="-1"/>
        <fieldUsage x="0"/>
      </fieldsUsage>
    </cacheHierarchy>
    <cacheHierarchy uniqueName="[Range].[Sales]" caption="Sales" attribute="1" defaultMemberUniqueName="[Range].[Sales].[All]" allUniqueName="[Range].[Sales].[All]" dimensionUniqueName="[Range]" displayFolder="" count="2" memberValueDatatype="5" unbalanced="0"/>
    <cacheHierarchy uniqueName="[Range].[Cost]" caption="Cost" attribute="1" defaultMemberUniqueName="[Range].[Cost].[All]" allUniqueName="[Range].[Cost].[All]" dimensionUniqueName="[Range]" displayFolder="" count="2" memberValueDatatype="5" unbalanced="0"/>
    <cacheHierarchy uniqueName="[Range].[Profit]" caption="Profit" attribute="1" defaultMemberUniqueName="[Range].[Profit].[All]" allUniqueName="[Range].[Profit].[All]" dimensionUniqueName="[Range]" displayFolder="" count="2" memberValueDatatype="5" unbalanced="0"/>
    <cacheHierarchy uniqueName="[Range].[Month]" caption="Month" attribute="1" defaultMemberUniqueName="[Range].[Month].[All]" allUniqueName="[Range].[Month].[All]" dimensionUniqueName="[Range]" displayFolder="" count="2" memberValueDatatype="130" unbalanced="0"/>
    <cacheHierarchy uniqueName="[Range].[Month_No]" caption="Month_No" attribute="1" defaultMemberUniqueName="[Range].[Month_No].[All]" allUniqueName="[Range].[Month_No].[All]" dimensionUniqueName="[Range]" displayFolder="" count="2" memberValueDatatype="20" unbalanced="0"/>
    <cacheHierarchy uniqueName="[Range].[Profit Margin %]" caption="Profit Margin %" attribute="1" defaultMemberUniqueName="[Range].[Profit Margin %].[All]" allUniqueName="[Range].[Profit Margin %].[All]" dimensionUniqueName="[Range]" displayFolder="" count="2" memberValueDatatype="5" unbalanced="0"/>
    <cacheHierarchy uniqueName="[Range].[Order_Date (Month)]" caption="Order_Date (Month)" attribute="1" defaultMemberUniqueName="[Range].[Order_Date (Month)].[All]" allUniqueName="[Range].[Order_Date (Month)].[All]" dimensionUniqueName="[Range]" displayFolder="" count="2" memberValueDatatype="130" unbalanced="0"/>
    <cacheHierarchy uniqueName="[Range].[Order_Date (Month Index)]" caption="Order_Date (Month Index)" attribute="1" defaultMemberUniqueName="[Range].[Order_Date (Month Index)].[All]" allUniqueName="[Range].[Order_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Count of Customer]" caption="Count of Customer"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 caption="Distinct Count of Customer" measure="1" displayFolder="" measureGroup="Range" count="0" hidden="1">
      <extLst>
        <ext xmlns:x15="http://schemas.microsoft.com/office/spreadsheetml/2010/11/main" uri="{B97F6D7D-B522-45F9-BDA1-12C45D357490}">
          <x15:cacheHierarchy aggregatedColumn="2"/>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7.420801851855" backgroundQuery="1" createdVersion="7" refreshedVersion="7" minRefreshableVersion="3" recordCount="0" supportSubquery="1" supportAdvancedDrill="1" xr:uid="{FF9710E5-D752-4C36-856C-A9EC6A3EE37D}">
  <cacheSource type="external" connectionId="1"/>
  <cacheFields count="2">
    <cacheField name="[Measures].[Sum of Sales]" caption="Sum of Sales" numFmtId="0" hierarchy="20" level="32767"/>
    <cacheField name="[Range].[Region].[Region]" caption="Region" numFmtId="0" hierarchy="5" level="1">
      <sharedItems containsSemiMixedTypes="0" containsNonDate="0" containsString="0"/>
    </cacheField>
  </cacheFields>
  <cacheHierarchies count="26">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 caption="Customer" attribute="1" defaultMemberUniqueName="[Range].[Customer].[All]" allUniqueName="[Range].[Customer].[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20" unbalanced="0"/>
    <cacheHierarchy uniqueName="[Range].[Discount_%]" caption="Discount_%" attribute="1" defaultMemberUniqueName="[Range].[Discount_%].[All]" allUniqueName="[Range].[Discount_%].[All]" dimensionUniqueName="[Range]" displayFolder="" count="0"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Month]" caption="Month" attribute="1" defaultMemberUniqueName="[Range].[Month].[All]" allUniqueName="[Range].[Month].[All]" dimensionUniqueName="[Range]" displayFolder="" count="0" memberValueDatatype="130" unbalanced="0"/>
    <cacheHierarchy uniqueName="[Range].[Month_No]" caption="Month_No" attribute="1" defaultMemberUniqueName="[Range].[Month_No].[All]" allUniqueName="[Range].[Month_No].[All]" dimensionUniqueName="[Range]" displayFolder="" count="0" memberValueDatatype="20" unbalanced="0"/>
    <cacheHierarchy uniqueName="[Range].[Profit Margin %]" caption="Profit Margin %" attribute="1" defaultMemberUniqueName="[Range].[Profit Margin %].[All]" allUniqueName="[Range].[Profit Margin %].[All]" dimensionUniqueName="[Range]" displayFolder="" count="0" memberValueDatatype="5" unbalanced="0"/>
    <cacheHierarchy uniqueName="[Range].[Order_Date (Month)]" caption="Order_Date (Month)" attribute="1" defaultMemberUniqueName="[Range].[Order_Date (Month)].[All]" allUniqueName="[Range].[Order_Date (Month)].[All]" dimensionUniqueName="[Range]" displayFolder="" count="2"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Count of Customer]" caption="Count of Customer"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 caption="Distinct Count of Customer" measure="1" displayFolder="" measureGroup="Range" count="0" hidden="1">
      <extLst>
        <ext xmlns:x15="http://schemas.microsoft.com/office/spreadsheetml/2010/11/main" uri="{B97F6D7D-B522-45F9-BDA1-12C45D357490}">
          <x15:cacheHierarchy aggregatedColumn="2"/>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7.420802199071" backgroundQuery="1" createdVersion="7" refreshedVersion="7" minRefreshableVersion="3" recordCount="0" supportSubquery="1" supportAdvancedDrill="1" xr:uid="{0517220E-A340-4B70-A1F1-131962C14C42}">
  <cacheSource type="external" connectionId="1"/>
  <cacheFields count="2">
    <cacheField name="[Measures].[Sum of Profit]" caption="Sum of Profit" numFmtId="0" hierarchy="21" level="32767"/>
    <cacheField name="[Range].[Region].[Region]" caption="Region" numFmtId="0" hierarchy="5" level="1">
      <sharedItems containsSemiMixedTypes="0" containsNonDate="0" containsString="0"/>
    </cacheField>
  </cacheFields>
  <cacheHierarchies count="26">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 caption="Customer" attribute="1" defaultMemberUniqueName="[Range].[Customer].[All]" allUniqueName="[Range].[Customer].[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20" unbalanced="0"/>
    <cacheHierarchy uniqueName="[Range].[Discount_%]" caption="Discount_%" attribute="1" defaultMemberUniqueName="[Range].[Discount_%].[All]" allUniqueName="[Range].[Discount_%].[All]" dimensionUniqueName="[Range]" displayFolder="" count="0"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Month]" caption="Month" attribute="1" defaultMemberUniqueName="[Range].[Month].[All]" allUniqueName="[Range].[Month].[All]" dimensionUniqueName="[Range]" displayFolder="" count="0" memberValueDatatype="130" unbalanced="0"/>
    <cacheHierarchy uniqueName="[Range].[Month_No]" caption="Month_No" attribute="1" defaultMemberUniqueName="[Range].[Month_No].[All]" allUniqueName="[Range].[Month_No].[All]" dimensionUniqueName="[Range]" displayFolder="" count="0" memberValueDatatype="20" unbalanced="0"/>
    <cacheHierarchy uniqueName="[Range].[Profit Margin %]" caption="Profit Margin %" attribute="1" defaultMemberUniqueName="[Range].[Profit Margin %].[All]" allUniqueName="[Range].[Profit Margin %].[All]" dimensionUniqueName="[Range]" displayFolder="" count="0" memberValueDatatype="5" unbalanced="0"/>
    <cacheHierarchy uniqueName="[Range].[Order_Date (Month)]" caption="Order_Date (Month)" attribute="1" defaultMemberUniqueName="[Range].[Order_Date (Month)].[All]" allUniqueName="[Range].[Order_Date (Month)].[All]" dimensionUniqueName="[Range]" displayFolder="" count="2"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Count of Customer]" caption="Count of Customer"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 caption="Distinct Count of Customer" measure="1" displayFolder="" measureGroup="Range" count="0" hidden="1">
      <extLst>
        <ext xmlns:x15="http://schemas.microsoft.com/office/spreadsheetml/2010/11/main" uri="{B97F6D7D-B522-45F9-BDA1-12C45D357490}">
          <x15:cacheHierarchy aggregatedColumn="2"/>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7.420802546294" backgroundQuery="1" createdVersion="7" refreshedVersion="7" minRefreshableVersion="3" recordCount="0" supportSubquery="1" supportAdvancedDrill="1" xr:uid="{ABDB5A21-DC0F-4983-8F54-B9578258C343}">
  <cacheSource type="external" connectionId="1"/>
  <cacheFields count="2">
    <cacheField name="[Measures].[Count of Order_ID]" caption="Count of Order_ID" numFmtId="0" hierarchy="22" level="32767"/>
    <cacheField name="[Range].[Region].[Region]" caption="Region" numFmtId="0" hierarchy="5" level="1">
      <sharedItems containsSemiMixedTypes="0" containsNonDate="0" containsString="0"/>
    </cacheField>
  </cacheFields>
  <cacheHierarchies count="26">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 caption="Customer" attribute="1" defaultMemberUniqueName="[Range].[Customer].[All]" allUniqueName="[Range].[Customer].[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20" unbalanced="0"/>
    <cacheHierarchy uniqueName="[Range].[Discount_%]" caption="Discount_%" attribute="1" defaultMemberUniqueName="[Range].[Discount_%].[All]" allUniqueName="[Range].[Discount_%].[All]" dimensionUniqueName="[Range]" displayFolder="" count="0"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Month]" caption="Month" attribute="1" defaultMemberUniqueName="[Range].[Month].[All]" allUniqueName="[Range].[Month].[All]" dimensionUniqueName="[Range]" displayFolder="" count="0" memberValueDatatype="130" unbalanced="0"/>
    <cacheHierarchy uniqueName="[Range].[Month_No]" caption="Month_No" attribute="1" defaultMemberUniqueName="[Range].[Month_No].[All]" allUniqueName="[Range].[Month_No].[All]" dimensionUniqueName="[Range]" displayFolder="" count="0" memberValueDatatype="20" unbalanced="0"/>
    <cacheHierarchy uniqueName="[Range].[Profit Margin %]" caption="Profit Margin %" attribute="1" defaultMemberUniqueName="[Range].[Profit Margin %].[All]" allUniqueName="[Range].[Profit Margin %].[All]" dimensionUniqueName="[Range]" displayFolder="" count="0" memberValueDatatype="5" unbalanced="0"/>
    <cacheHierarchy uniqueName="[Range].[Order_Date (Month)]" caption="Order_Date (Month)" attribute="1" defaultMemberUniqueName="[Range].[Order_Date (Month)].[All]" allUniqueName="[Range].[Order_Date (Month)].[All]" dimensionUniqueName="[Range]" displayFolder="" count="2"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Range" count="0" oneField="1" hidden="1">
      <fieldsUsage count="1">
        <fieldUsage x="0"/>
      </fieldsUsage>
      <extLst>
        <ext xmlns:x15="http://schemas.microsoft.com/office/spreadsheetml/2010/11/main" uri="{B97F6D7D-B522-45F9-BDA1-12C45D357490}">
          <x15:cacheHierarchy aggregatedColumn="0"/>
        </ext>
      </extLst>
    </cacheHierarchy>
    <cacheHierarchy uniqueName="[Measures].[Count of Customer]" caption="Count of Customer"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 caption="Distinct Count of Customer" measure="1" displayFolder="" measureGroup="Range" count="0" hidden="1">
      <extLst>
        <ext xmlns:x15="http://schemas.microsoft.com/office/spreadsheetml/2010/11/main" uri="{B97F6D7D-B522-45F9-BDA1-12C45D357490}">
          <x15:cacheHierarchy aggregatedColumn="2"/>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7.420803009256" backgroundQuery="1" createdVersion="7" refreshedVersion="7" minRefreshableVersion="3" recordCount="0" supportSubquery="1" supportAdvancedDrill="1" xr:uid="{0D93FDD3-3B72-409F-9A0D-72DCD3962966}">
  <cacheSource type="external" connectionId="1"/>
  <cacheFields count="2">
    <cacheField name="[Measures].[Distinct Count of Customer]" caption="Distinct Count of Customer" numFmtId="0" hierarchy="24" level="32767"/>
    <cacheField name="[Range].[Region].[Region]" caption="Region" numFmtId="0" hierarchy="5" level="1">
      <sharedItems containsSemiMixedTypes="0" containsNonDate="0" containsString="0"/>
    </cacheField>
  </cacheFields>
  <cacheHierarchies count="26">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 caption="Customer" attribute="1" defaultMemberUniqueName="[Range].[Customer].[All]" allUniqueName="[Range].[Customer].[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fieldsUsage count="2">
        <fieldUsage x="-1"/>
        <fieldUsage x="1"/>
      </fieldsUsage>
    </cacheHierarchy>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20" unbalanced="0"/>
    <cacheHierarchy uniqueName="[Range].[Discount_%]" caption="Discount_%" attribute="1" defaultMemberUniqueName="[Range].[Discount_%].[All]" allUniqueName="[Range].[Discount_%].[All]" dimensionUniqueName="[Range]" displayFolder="" count="0"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Month]" caption="Month" attribute="1" defaultMemberUniqueName="[Range].[Month].[All]" allUniqueName="[Range].[Month].[All]" dimensionUniqueName="[Range]" displayFolder="" count="0" memberValueDatatype="130" unbalanced="0"/>
    <cacheHierarchy uniqueName="[Range].[Month_No]" caption="Month_No" attribute="1" defaultMemberUniqueName="[Range].[Month_No].[All]" allUniqueName="[Range].[Month_No].[All]" dimensionUniqueName="[Range]" displayFolder="" count="0" memberValueDatatype="20" unbalanced="0"/>
    <cacheHierarchy uniqueName="[Range].[Profit Margin %]" caption="Profit Margin %" attribute="1" defaultMemberUniqueName="[Range].[Profit Margin %].[All]" allUniqueName="[Range].[Profit Margin %].[All]" dimensionUniqueName="[Range]" displayFolder="" count="0" memberValueDatatype="5" unbalanced="0"/>
    <cacheHierarchy uniqueName="[Range].[Order_Date (Month)]" caption="Order_Date (Month)" attribute="1" defaultMemberUniqueName="[Range].[Order_Date (Month)].[All]" allUniqueName="[Range].[Order_Date (Month)].[All]" dimensionUniqueName="[Range]" displayFolder="" count="2"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Count of Customer]" caption="Count of Customer"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 caption="Distinct Count of Customer" measure="1" displayFolder="" measureGroup="Range"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6.411495601853" backgroundQuery="1" createdVersion="3" refreshedVersion="7" minRefreshableVersion="3" recordCount="0" supportSubquery="1" supportAdvancedDrill="1" xr:uid="{96538055-952F-4401-89F8-A92AEE4D1FA3}">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Range].[Order_ID]" caption="Order_ID" attribute="1" defaultMemberUniqueName="[Range].[Order_ID].[All]" allUniqueName="[Range].[Order_ID].[All]" dimensionUniqueName="[Range]" displayFolder="" count="0" memberValueDatatype="130" unbalanced="0"/>
    <cacheHierarchy uniqueName="[Range].[Order_Date]" caption="Order_Date" attribute="1" time="1" defaultMemberUniqueName="[Range].[Order_Date].[All]" allUniqueName="[Range].[Order_Date].[All]" dimensionUniqueName="[Range]" displayFolder="" count="0" memberValueDatatype="7" unbalanced="0"/>
    <cacheHierarchy uniqueName="[Range].[Customer]" caption="Customer" attribute="1" defaultMemberUniqueName="[Range].[Customer].[All]" allUniqueName="[Range].[Customer].[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cacheHierarchy uniqueName="[Range].[Category]" caption="Category" attribute="1" defaultMemberUniqueName="[Range].[Category].[All]" allUniqueName="[Range].[Category].[All]" dimensionUniqueName="[Range]" displayFolder="" count="2" memberValueDatatype="130" unbalanced="0"/>
    <cacheHierarchy uniqueName="[Range].[Region]" caption="Region" attribute="1" defaultMemberUniqueName="[Range].[Region].[All]" allUniqueName="[Range].[Region].[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_Price]" caption="Unit_Price" attribute="1" defaultMemberUniqueName="[Range].[Unit_Price].[All]" allUniqueName="[Range].[Unit_Price].[All]" dimensionUniqueName="[Range]" displayFolder="" count="0" memberValueDatatype="20" unbalanced="0"/>
    <cacheHierarchy uniqueName="[Range].[Discount_%]" caption="Discount_%" attribute="1" defaultMemberUniqueName="[Range].[Discount_%].[All]" allUniqueName="[Range].[Discount_%].[All]" dimensionUniqueName="[Range]" displayFolder="" count="0" memberValueDatatype="20" unbalanced="0"/>
    <cacheHierarchy uniqueName="[Range].[Payment_Mode]" caption="Payment_Mode" attribute="1" defaultMemberUniqueName="[Range].[Payment_Mode].[All]" allUniqueName="[Range].[Payment_Mode].[All]" dimensionUniqueName="[Range]" displayFolder="" count="2" memberValueDatatype="130" unbalanced="0"/>
    <cacheHierarchy uniqueName="[Range].[Sales]" caption="Sales" attribute="1" defaultMemberUniqueName="[Range].[Sales].[All]" allUniqueName="[Range].[Sales].[All]" dimensionUniqueName="[Range]" displayFolder="" count="0" memberValueDatatype="5" unbalanced="0"/>
    <cacheHierarchy uniqueName="[Range].[Cost]" caption="Cost" attribute="1" defaultMemberUniqueName="[Range].[Cost].[All]" allUniqueName="[Range].[Cost].[All]" dimensionUniqueName="[Range]" displayFolder="" count="0" memberValueDatatype="5" unbalanced="0"/>
    <cacheHierarchy uniqueName="[Range].[Profit]" caption="Profit" attribute="1" defaultMemberUniqueName="[Range].[Profit].[All]" allUniqueName="[Range].[Profit].[All]" dimensionUniqueName="[Range]" displayFolder="" count="0" memberValueDatatype="5" unbalanced="0"/>
    <cacheHierarchy uniqueName="[Range].[Month]" caption="Month" attribute="1" defaultMemberUniqueName="[Range].[Month].[All]" allUniqueName="[Range].[Month].[All]" dimensionUniqueName="[Range]" displayFolder="" count="0" memberValueDatatype="130" unbalanced="0"/>
    <cacheHierarchy uniqueName="[Range].[Month_No]" caption="Month_No" attribute="1" defaultMemberUniqueName="[Range].[Month_No].[All]" allUniqueName="[Range].[Month_No].[All]" dimensionUniqueName="[Range]" displayFolder="" count="0" memberValueDatatype="20" unbalanced="0"/>
    <cacheHierarchy uniqueName="[Range].[Profit Margin %]" caption="Profit Margin %" attribute="1" defaultMemberUniqueName="[Range].[Profit Margin %].[All]" allUniqueName="[Range].[Profit Margin %].[All]" dimensionUniqueName="[Range]" displayFolder="" count="0" memberValueDatatype="5" unbalanced="0"/>
    <cacheHierarchy uniqueName="[Range].[Order_Date (Month)]" caption="Order_Date (Month)" attribute="1" defaultMemberUniqueName="[Range].[Order_Date (Month)].[All]" allUniqueName="[Range].[Order_Date (Month)].[All]" dimensionUniqueName="[Range]" displayFolder="" count="2" memberValueDatatype="130" unbalanced="0"/>
    <cacheHierarchy uniqueName="[Range].[Order_Date (Month Index)]" caption="Order_Date (Month Index)" attribute="1" defaultMemberUniqueName="[Range].[Order_Date (Month Index)].[All]" allUniqueName="[Range].[Order_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Sales]" caption="Sum of Sales" measure="1" displayFolder="" measureGroup="Range" count="0" hidden="1">
      <extLst>
        <ext xmlns:x15="http://schemas.microsoft.com/office/spreadsheetml/2010/11/main" uri="{B97F6D7D-B522-45F9-BDA1-12C45D357490}">
          <x15:cacheHierarchy aggregatedColumn="10"/>
        </ext>
      </extLst>
    </cacheHierarchy>
    <cacheHierarchy uniqueName="[Measures].[Sum of Profit]" caption="Sum of Profit" measure="1" displayFolder="" measureGroup="Range" count="0" hidden="1">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Range" count="0" hidden="1">
      <extLst>
        <ext xmlns:x15="http://schemas.microsoft.com/office/spreadsheetml/2010/11/main" uri="{B97F6D7D-B522-45F9-BDA1-12C45D357490}">
          <x15:cacheHierarchy aggregatedColumn="0"/>
        </ext>
      </extLst>
    </cacheHierarchy>
    <cacheHierarchy uniqueName="[Measures].[Count of Customer]" caption="Count of Customer" measure="1" displayFolder="" measureGroup="Range" count="0" hidden="1">
      <extLst>
        <ext xmlns:x15="http://schemas.microsoft.com/office/spreadsheetml/2010/11/main" uri="{B97F6D7D-B522-45F9-BDA1-12C45D357490}">
          <x15:cacheHierarchy aggregatedColumn="2"/>
        </ext>
      </extLst>
    </cacheHierarchy>
    <cacheHierarchy uniqueName="[Measures].[Distinct Count of Customer]" caption="Distinct Count of Customer" measure="1" displayFolder="" measureGroup="Range" count="0" hidden="1">
      <extLst>
        <ext xmlns:x15="http://schemas.microsoft.com/office/spreadsheetml/2010/11/main" uri="{B97F6D7D-B522-45F9-BDA1-12C45D357490}">
          <x15:cacheHierarchy aggregatedColumn="2"/>
        </ext>
      </extLst>
    </cacheHierarchy>
    <cacheHierarchy uniqueName="[Measures].[Sum of Cost]" caption="Sum of Cost" measure="1" displayFolder="" measureGroup="Range"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19327387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C6C8C9-87E3-4B53-919A-1290950700AC}" name="PivotTable4"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ustomer" fld="0" subtotal="count" baseField="0" baseItem="0">
      <extLst>
        <ext xmlns:x15="http://schemas.microsoft.com/office/spreadsheetml/2010/11/main" uri="{FABC7310-3BB5-11E1-824E-6D434824019B}">
          <x15:dataField isCountDistinct="1"/>
        </ext>
      </extLst>
    </dataField>
  </dataFields>
  <pivotHierarchies count="26">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P$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756509-D484-4478-A68B-4ABADC41093C}" name="PivotTable1"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dataFields>
  <pivotHierarchies count="26">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P$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7F620A-E197-4E83-ACC8-B9617547B001}" name="PivotTable3"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26">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P$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8A21F7-EB34-4725-9AB1-E2E90651EB4B}" name="PivotTable5"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J18:K24" firstHeaderRow="1" firstDataRow="1" firstDataCol="1"/>
  <pivotFields count="3">
    <pivotField dataField="1" subtotalTop="0" showAll="0" defaultSubtotal="0"/>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6">
    <i>
      <x v="1"/>
    </i>
    <i>
      <x v="4"/>
    </i>
    <i>
      <x/>
    </i>
    <i>
      <x v="3"/>
    </i>
    <i>
      <x v="2"/>
    </i>
    <i t="grand">
      <x/>
    </i>
  </rowItems>
  <colItems count="1">
    <i/>
  </colItems>
  <dataFields count="1">
    <dataField name="Sum of Sales" fld="0" baseField="0" baseItem="0"/>
  </dataFields>
  <chartFormats count="4">
    <chartFormat chart="4"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5" format="1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P$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77A6D0-9A1B-4896-9156-70A4D5314D12}" name="PivotTable2"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dataFields>
  <pivotHierarchies count="26">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P$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4266A8-9A2D-49E1-8147-6FEED4DAC34C}" name="PivotTable11" cacheId="5"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9">
  <location ref="J10:L16" firstHeaderRow="0" firstDataRow="1" firstDataCol="1"/>
  <pivotFields count="4">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v="2"/>
    </i>
    <i>
      <x v="3"/>
    </i>
    <i>
      <x/>
    </i>
    <i>
      <x v="4"/>
    </i>
    <i>
      <x v="1"/>
    </i>
    <i t="grand">
      <x/>
    </i>
  </rowItems>
  <colFields count="1">
    <field x="-2"/>
  </colFields>
  <colItems count="2">
    <i>
      <x/>
    </i>
    <i i="1">
      <x v="1"/>
    </i>
  </colItems>
  <dataFields count="2">
    <dataField name=" Profit" fld="1" baseField="0" baseItem="2"/>
    <dataField name=" Cost" fld="2" baseField="0" baseItem="2"/>
  </dataFields>
  <chartFormats count="8">
    <chartFormat chart="35" format="1" series="1">
      <pivotArea type="data" outline="0" fieldPosition="0">
        <references count="1">
          <reference field="4294967294" count="1" selected="0">
            <x v="0"/>
          </reference>
        </references>
      </pivotArea>
    </chartFormat>
    <chartFormat chart="36" format="3" series="1">
      <pivotArea type="data" outline="0" fieldPosition="0">
        <references count="1">
          <reference field="4294967294" count="1" selected="0">
            <x v="0"/>
          </reference>
        </references>
      </pivotArea>
    </chartFormat>
    <chartFormat chart="37" format="5"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0"/>
          </reference>
        </references>
      </pivotArea>
    </chartFormat>
    <chartFormat chart="38" format="6" series="1">
      <pivotArea type="data" outline="0" fieldPosition="0">
        <references count="1">
          <reference field="4294967294" count="1" selected="0">
            <x v="1"/>
          </reference>
        </references>
      </pivotArea>
    </chartFormat>
    <chartFormat chart="37" format="6" series="1">
      <pivotArea type="data" outline="0" fieldPosition="0">
        <references count="1">
          <reference field="4294967294" count="1" selected="0">
            <x v="1"/>
          </reference>
        </references>
      </pivotArea>
    </chartFormat>
    <chartFormat chart="36" format="4" series="1">
      <pivotArea type="data" outline="0" fieldPosition="0">
        <references count="1">
          <reference field="4294967294" count="1" selected="0">
            <x v="1"/>
          </reference>
        </references>
      </pivotArea>
    </chartFormat>
    <chartFormat chart="35" format="2" series="1">
      <pivotArea type="data" outline="0" fieldPosition="0">
        <references count="1">
          <reference field="4294967294" count="1" selected="0">
            <x v="1"/>
          </reference>
        </references>
      </pivotArea>
    </chartFormat>
  </chartFormats>
  <pivotHierarchies count="26">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caption=" Profit"/>
    <pivotHierarchy dragToData="1"/>
    <pivotHierarchy dragToData="1"/>
    <pivotHierarchy dragToData="1"/>
    <pivotHierarchy dragToData="1" caption=" Cost"/>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P$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21C418-C505-42E9-89FF-3888C649A776}"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D12:E18" firstHeaderRow="1" firstDataRow="1" firstDataCol="1"/>
  <pivotFields count="2">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v="4"/>
    </i>
    <i>
      <x/>
    </i>
    <i>
      <x v="2"/>
    </i>
    <i>
      <x v="1"/>
    </i>
    <i>
      <x v="3"/>
    </i>
    <i t="grand">
      <x/>
    </i>
  </rowItems>
  <colItems count="1">
    <i/>
  </colItems>
  <dataFields count="1">
    <dataField name="Sum of Sales" fld="0" baseField="0" baseItem="0"/>
  </dataFields>
  <chartFormats count="8">
    <chartFormat chart="4"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5" format="12" series="1">
      <pivotArea type="data" outline="0" fieldPosition="0">
        <references count="1">
          <reference field="4294967294" count="1" selected="0">
            <x v="0"/>
          </reference>
        </references>
      </pivotArea>
    </chartFormat>
    <chartFormat chart="15" format="13">
      <pivotArea type="data" outline="0" fieldPosition="0">
        <references count="2">
          <reference field="4294967294" count="1" selected="0">
            <x v="0"/>
          </reference>
          <reference field="1" count="1" selected="0">
            <x v="4"/>
          </reference>
        </references>
      </pivotArea>
    </chartFormat>
    <chartFormat chart="15" format="14">
      <pivotArea type="data" outline="0" fieldPosition="0">
        <references count="2">
          <reference field="4294967294" count="1" selected="0">
            <x v="0"/>
          </reference>
          <reference field="1" count="1" selected="0">
            <x v="0"/>
          </reference>
        </references>
      </pivotArea>
    </chartFormat>
    <chartFormat chart="15" format="15">
      <pivotArea type="data" outline="0" fieldPosition="0">
        <references count="2">
          <reference field="4294967294" count="1" selected="0">
            <x v="0"/>
          </reference>
          <reference field="1" count="1" selected="0">
            <x v="2"/>
          </reference>
        </references>
      </pivotArea>
    </chartFormat>
    <chartFormat chart="15" format="16">
      <pivotArea type="data" outline="0" fieldPosition="0">
        <references count="2">
          <reference field="4294967294" count="1" selected="0">
            <x v="0"/>
          </reference>
          <reference field="1" count="1" selected="0">
            <x v="1"/>
          </reference>
        </references>
      </pivotArea>
    </chartFormat>
    <chartFormat chart="15" format="17">
      <pivotArea type="data" outline="0" fieldPosition="0">
        <references count="2">
          <reference field="4294967294" count="1" selected="0">
            <x v="0"/>
          </reference>
          <reference field="1" count="1" selected="0">
            <x v="3"/>
          </reference>
        </references>
      </pivotArea>
    </chartFormat>
  </chartFormats>
  <pivotHierarchies count="26">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P$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8F3F12D-4300-4BA9-A88B-87230D7A56E8}" name="PivotTable8"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2">
  <location ref="H3:I6" firstHeaderRow="1" firstDataRow="1" firstDataCol="1"/>
  <pivotFields count="3">
    <pivotField dataField="1" subtotalTop="0" showAll="0" defaultSubtotal="0"/>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dataFields count="1">
    <dataField name="Sum of Sales" fld="0" showDataAs="percentOfTotal" baseField="2" baseItem="0" numFmtId="10"/>
  </dataFields>
  <chartFormats count="7">
    <chartFormat chart="4"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1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2" count="1" selected="0">
            <x v="0"/>
          </reference>
        </references>
      </pivotArea>
    </chartFormat>
    <chartFormat chart="21" format="6">
      <pivotArea type="data" outline="0" fieldPosition="0">
        <references count="2">
          <reference field="4294967294" count="1" selected="0">
            <x v="0"/>
          </reference>
          <reference field="2" count="1" selected="0">
            <x v="1"/>
          </reference>
        </references>
      </pivotArea>
    </chartFormat>
  </chartFormats>
  <pivotHierarchies count="26">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P$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4316D7-3EB1-4152-B3CC-5745101DCB30}" name="PivotTable9"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5">
  <location ref="G12:H18" firstHeaderRow="1" firstDataRow="1" firstDataCol="1"/>
  <pivotFields count="3">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1"/>
    </i>
    <i>
      <x v="4"/>
    </i>
    <i>
      <x/>
    </i>
    <i>
      <x v="3"/>
    </i>
    <i>
      <x v="2"/>
    </i>
    <i t="grand">
      <x/>
    </i>
  </rowItems>
  <colItems count="1">
    <i/>
  </colItems>
  <dataFields count="1">
    <dataField name="Sum of Sales" fld="1" baseField="0" baseItem="0"/>
  </dataFields>
  <chartFormats count="1">
    <chartFormat chart="19" format="0"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P$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6489F51-4408-4001-BAC6-528DA1AA0A52}" name="PivotTable10"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1">
  <location ref="G19:H25"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3"/>
    </i>
    <i>
      <x/>
    </i>
    <i>
      <x v="4"/>
    </i>
    <i>
      <x v="1"/>
    </i>
    <i t="grand">
      <x/>
    </i>
  </rowItems>
  <colItems count="1">
    <i/>
  </colItems>
  <dataFields count="1">
    <dataField name="Sum of Sales" fld="1" baseField="0" baseItem="0"/>
  </dataFields>
  <chartFormats count="3">
    <chartFormat chart="19" format="0"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P$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45BD648-B246-42FD-B501-B29A4758A084}"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D3:F10" firstHeaderRow="0"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2">
    <i>
      <x/>
    </i>
    <i i="1">
      <x v="1"/>
    </i>
  </colItems>
  <dataFields count="2">
    <dataField name="Sales" fld="1" baseField="0" baseItem="0"/>
    <dataField name=" Profit" fld="2" baseField="0" baseItem="0"/>
  </dataFields>
  <chartFormats count="2">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26">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Sales"/>
    <pivotHierarchy dragToData="1" caption=" Profi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P$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14EEB35-E9AE-488F-B9F9-291A727279C8}" name="PivotTable12"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8">
  <location ref="M18:N23"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showDataAs="percentOfTotal" baseField="0" baseItem="0" numFmtId="10"/>
  </dataFields>
  <chartFormats count="15">
    <chartFormat chart="25" format="1" series="1">
      <pivotArea type="data" outline="0" fieldPosition="0">
        <references count="1">
          <reference field="4294967294" count="1" selected="0">
            <x v="0"/>
          </reference>
        </references>
      </pivotArea>
    </chartFormat>
    <chartFormat chart="25" format="2">
      <pivotArea type="data" outline="0" fieldPosition="0">
        <references count="2">
          <reference field="4294967294" count="1" selected="0">
            <x v="0"/>
          </reference>
          <reference field="0" count="1" selected="0">
            <x v="0"/>
          </reference>
        </references>
      </pivotArea>
    </chartFormat>
    <chartFormat chart="25" format="3">
      <pivotArea type="data" outline="0" fieldPosition="0">
        <references count="2">
          <reference field="4294967294" count="1" selected="0">
            <x v="0"/>
          </reference>
          <reference field="0" count="1" selected="0">
            <x v="1"/>
          </reference>
        </references>
      </pivotArea>
    </chartFormat>
    <chartFormat chart="25" format="4">
      <pivotArea type="data" outline="0" fieldPosition="0">
        <references count="2">
          <reference field="4294967294" count="1" selected="0">
            <x v="0"/>
          </reference>
          <reference field="0" count="1" selected="0">
            <x v="2"/>
          </reference>
        </references>
      </pivotArea>
    </chartFormat>
    <chartFormat chart="25" format="5">
      <pivotArea type="data" outline="0" fieldPosition="0">
        <references count="2">
          <reference field="4294967294" count="1" selected="0">
            <x v="0"/>
          </reference>
          <reference field="0" count="1" selected="0">
            <x v="3"/>
          </reference>
        </references>
      </pivotArea>
    </chartFormat>
    <chartFormat chart="26" format="6" series="1">
      <pivotArea type="data" outline="0" fieldPosition="0">
        <references count="1">
          <reference field="4294967294" count="1" selected="0">
            <x v="0"/>
          </reference>
        </references>
      </pivotArea>
    </chartFormat>
    <chartFormat chart="26" format="7">
      <pivotArea type="data" outline="0" fieldPosition="0">
        <references count="2">
          <reference field="4294967294" count="1" selected="0">
            <x v="0"/>
          </reference>
          <reference field="0" count="1" selected="0">
            <x v="0"/>
          </reference>
        </references>
      </pivotArea>
    </chartFormat>
    <chartFormat chart="26" format="8">
      <pivotArea type="data" outline="0" fieldPosition="0">
        <references count="2">
          <reference field="4294967294" count="1" selected="0">
            <x v="0"/>
          </reference>
          <reference field="0" count="1" selected="0">
            <x v="1"/>
          </reference>
        </references>
      </pivotArea>
    </chartFormat>
    <chartFormat chart="26" format="9">
      <pivotArea type="data" outline="0" fieldPosition="0">
        <references count="2">
          <reference field="4294967294" count="1" selected="0">
            <x v="0"/>
          </reference>
          <reference field="0" count="1" selected="0">
            <x v="2"/>
          </reference>
        </references>
      </pivotArea>
    </chartFormat>
    <chartFormat chart="26" format="10">
      <pivotArea type="data" outline="0" fieldPosition="0">
        <references count="2">
          <reference field="4294967294" count="1" selected="0">
            <x v="0"/>
          </reference>
          <reference field="0" count="1" selected="0">
            <x v="3"/>
          </reference>
        </references>
      </pivotArea>
    </chartFormat>
    <chartFormat chart="27" format="6" series="1">
      <pivotArea type="data" outline="0" fieldPosition="0">
        <references count="1">
          <reference field="4294967294" count="1" selected="0">
            <x v="0"/>
          </reference>
        </references>
      </pivotArea>
    </chartFormat>
    <chartFormat chart="27" format="7">
      <pivotArea type="data" outline="0" fieldPosition="0">
        <references count="2">
          <reference field="4294967294" count="1" selected="0">
            <x v="0"/>
          </reference>
          <reference field="0" count="1" selected="0">
            <x v="0"/>
          </reference>
        </references>
      </pivotArea>
    </chartFormat>
    <chartFormat chart="27" format="8">
      <pivotArea type="data" outline="0" fieldPosition="0">
        <references count="2">
          <reference field="4294967294" count="1" selected="0">
            <x v="0"/>
          </reference>
          <reference field="0" count="1" selected="0">
            <x v="1"/>
          </reference>
        </references>
      </pivotArea>
    </chartFormat>
    <chartFormat chart="27" format="9">
      <pivotArea type="data" outline="0" fieldPosition="0">
        <references count="2">
          <reference field="4294967294" count="1" selected="0">
            <x v="0"/>
          </reference>
          <reference field="0" count="1" selected="0">
            <x v="2"/>
          </reference>
        </references>
      </pivotArea>
    </chartFormat>
    <chartFormat chart="27" format="10">
      <pivotArea type="data" outline="0" fieldPosition="0">
        <references count="2">
          <reference field="4294967294" count="1" selected="0">
            <x v="0"/>
          </reference>
          <reference field="0" count="1" selected="0">
            <x v="3"/>
          </reference>
        </references>
      </pivotArea>
    </chartFormat>
  </chartFormats>
  <pivotHierarchies count="26">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leaned Data!$A$1:$P$8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07522C65-AE45-499E-8339-0364D2767728}" sourceName="[Range].[Order_Date (Month)]">
  <pivotTables>
    <pivotTable tabId="6" name="PivotTable6"/>
    <pivotTable tabId="6" name="PivotTable7"/>
    <pivotTable tabId="6" name="PivotTable8"/>
    <pivotTable tabId="6" name="PivotTable9"/>
    <pivotTable tabId="6" name="PivotTable10"/>
    <pivotTable tabId="6" name="PivotTable11"/>
    <pivotTable tabId="6" name="PivotTable5"/>
    <pivotTable tabId="6" name="PivotTable12"/>
    <pivotTable tabId="6" name="PivotTable1"/>
    <pivotTable tabId="6" name="PivotTable2"/>
    <pivotTable tabId="6" name="PivotTable3"/>
    <pivotTable tabId="6" name="PivotTable4"/>
  </pivotTables>
  <data>
    <olap pivotCacheId="1193273873">
      <levels count="2">
        <level uniqueName="[Range].[Order_Date (Month)].[(All)]" sourceCaption="(All)" count="0"/>
        <level uniqueName="[Range].[Order_Date (Month)].[Order_Date (Month)]" sourceCaption="Order_Date (Month)" count="6">
          <ranges>
            <range startItem="0">
              <i n="[Range].[Order_Date (Month)].&amp;[Jan]" c="Jan"/>
              <i n="[Range].[Order_Date (Month)].&amp;[Feb]" c="Feb"/>
              <i n="[Range].[Order_Date (Month)].&amp;[Mar]" c="Mar"/>
              <i n="[Range].[Order_Date (Month)].&amp;[Apr]" c="Apr"/>
              <i n="[Range].[Order_Date (Month)].&amp;[May]" c="May"/>
              <i n="[Range].[Order_Date (Month)].&amp;[Jun]" c="Jun"/>
            </range>
          </ranges>
        </level>
      </levels>
      <selections count="1">
        <selection n="[Range].[Order_Date (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98CBDB4-ED55-4AE3-BE5E-5B2AB38E40EB}" sourceName="[Range].[Product]">
  <pivotTables>
    <pivotTable tabId="6" name="PivotTable6"/>
    <pivotTable tabId="6" name="PivotTable7"/>
    <pivotTable tabId="6" name="PivotTable8"/>
    <pivotTable tabId="6" name="PivotTable9"/>
    <pivotTable tabId="6" name="PivotTable10"/>
    <pivotTable tabId="6" name="PivotTable11"/>
    <pivotTable tabId="6" name="PivotTable5"/>
    <pivotTable tabId="6" name="PivotTable12"/>
    <pivotTable tabId="6" name="PivotTable1"/>
    <pivotTable tabId="6" name="PivotTable2"/>
    <pivotTable tabId="6" name="PivotTable3"/>
    <pivotTable tabId="6" name="PivotTable4"/>
  </pivotTables>
  <data>
    <olap pivotCacheId="1193273873">
      <levels count="2">
        <level uniqueName="[Range].[Product].[(All)]" sourceCaption="(All)" count="0"/>
        <level uniqueName="[Range].[Product].[Product]" sourceCaption="Product" count="5">
          <ranges>
            <range startItem="0">
              <i n="[Range].[Product].&amp;[Headset]" c="Headset"/>
              <i n="[Range].[Product].&amp;[Keyboard]" c="Keyboard"/>
              <i n="[Range].[Product].&amp;[Laptop]" c="Laptop"/>
              <i n="[Range].[Product].&amp;[Monitor]" c="Monitor"/>
              <i n="[Range].[Product].&amp;[Mouse]" c="Mouse"/>
            </range>
          </ranges>
        </level>
      </levels>
      <selections count="1">
        <selection n="[Range].[Produc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1990184-16EE-43B2-8369-5BD0C67E51BB}" sourceName="[Range].[Category]">
  <pivotTables>
    <pivotTable tabId="6" name="PivotTable6"/>
    <pivotTable tabId="6" name="PivotTable7"/>
    <pivotTable tabId="6" name="PivotTable8"/>
    <pivotTable tabId="6" name="PivotTable9"/>
    <pivotTable tabId="6" name="PivotTable10"/>
    <pivotTable tabId="6" name="PivotTable11"/>
    <pivotTable tabId="6" name="PivotTable5"/>
    <pivotTable tabId="6" name="PivotTable12"/>
    <pivotTable tabId="6" name="PivotTable1"/>
    <pivotTable tabId="6" name="PivotTable2"/>
    <pivotTable tabId="6" name="PivotTable3"/>
    <pivotTable tabId="6" name="PivotTable4"/>
  </pivotTables>
  <data>
    <olap pivotCacheId="1193273873">
      <levels count="2">
        <level uniqueName="[Range].[Category].[(All)]" sourceCaption="(All)" count="0"/>
        <level uniqueName="[Range].[Category].[Category]" sourceCaption="Category" count="2">
          <ranges>
            <range startItem="0">
              <i n="[Range].[Category].&amp;[Accessories]" c="Accessories"/>
              <i n="[Range].[Category].&amp;[Electronics]" c="Electronics"/>
            </range>
          </ranges>
        </level>
      </levels>
      <selections count="1">
        <selection n="[Range].[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35DF874-432D-4636-9ED6-859EBF910BF0}" sourceName="[Range].[Region]">
  <pivotTables>
    <pivotTable tabId="6" name="PivotTable6"/>
    <pivotTable tabId="6" name="PivotTable7"/>
    <pivotTable tabId="6" name="PivotTable8"/>
    <pivotTable tabId="6" name="PivotTable9"/>
    <pivotTable tabId="6" name="PivotTable10"/>
    <pivotTable tabId="6" name="PivotTable11"/>
    <pivotTable tabId="6" name="PivotTable5"/>
    <pivotTable tabId="6" name="PivotTable12"/>
    <pivotTable tabId="6" name="PivotTable1"/>
    <pivotTable tabId="6" name="PivotTable2"/>
    <pivotTable tabId="6" name="PivotTable3"/>
    <pivotTable tabId="6" name="PivotTable4"/>
  </pivotTables>
  <data>
    <olap pivotCacheId="1193273873">
      <levels count="2">
        <level uniqueName="[Range].[Region].[(All)]" sourceCaption="(All)" count="0"/>
        <level uniqueName="[Range].[Region].[Region]" sourceCaption="Region" count="5">
          <ranges>
            <range startItem="0">
              <i n="[Range].[Region].&amp;[East]" c="East"/>
              <i n="[Range].[Region].&amp;[North]" c="North"/>
              <i n="[Range].[Region].&amp;[South]" c="South"/>
              <i n="[Range].[Region].&amp;[Unknown]" c="Unknown"/>
              <i n="[Range].[Region].&amp;[West]" c="West"/>
            </range>
          </ranges>
        </level>
      </levels>
      <selections count="1">
        <selection n="[Range].[Regio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10168D9A-11B3-4C0F-9ACA-7C3DCA80F3E8}" sourceName="[Range].[Payment_Mode]">
  <pivotTables>
    <pivotTable tabId="6" name="PivotTable6"/>
    <pivotTable tabId="6" name="PivotTable7"/>
    <pivotTable tabId="6" name="PivotTable8"/>
    <pivotTable tabId="6" name="PivotTable9"/>
    <pivotTable tabId="6" name="PivotTable10"/>
    <pivotTable tabId="6" name="PivotTable11"/>
    <pivotTable tabId="6" name="PivotTable5"/>
    <pivotTable tabId="6" name="PivotTable12"/>
    <pivotTable tabId="6" name="PivotTable1"/>
    <pivotTable tabId="6" name="PivotTable2"/>
    <pivotTable tabId="6" name="PivotTable3"/>
    <pivotTable tabId="6" name="PivotTable4"/>
  </pivotTables>
  <data>
    <olap pivotCacheId="1193273873">
      <levels count="2">
        <level uniqueName="[Range].[Payment_Mode].[(All)]" sourceCaption="(All)" count="0"/>
        <level uniqueName="[Range].[Payment_Mode].[Payment_Mode]" sourceCaption="Payment_Mode" count="4">
          <ranges>
            <range startItem="0">
              <i n="[Range].[Payment_Mode].&amp;[Card]" c="Card"/>
              <i n="[Range].[Payment_Mode].&amp;[Cash]" c="Cash"/>
              <i n="[Range].[Payment_Mode].&amp;[Net Banking]" c="Net Banking"/>
              <i n="[Range].[Payment_Mode].&amp;[UPI]" c="UPI"/>
            </range>
          </ranges>
        </level>
      </levels>
      <selections count="1">
        <selection n="[Range].[Payment_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Month)" xr10:uid="{F04B5852-A1C2-486B-9F67-F4D5DE7E268B}" cache="Slicer_Order_Date__Month" caption="Order Date " columnCount="3" level="1" style="Slicer Style 1" rowHeight="241300"/>
  <slicer name="Product" xr10:uid="{F71BDF79-EE89-4549-9FC6-C133915FCDA5}" cache="Slicer_Product" caption="Product" columnCount="3" level="1" style="Slicer Style 1" rowHeight="241300"/>
  <slicer name="Category" xr10:uid="{D751FE37-588D-4038-975E-2833176E289C}" cache="Slicer_Category" caption="Category" level="1" style="Slicer Style 1" rowHeight="241300"/>
  <slicer name="Region" xr10:uid="{1D0486AC-A9FA-4820-98F3-3F69FF1E06B4}" cache="Slicer_Region" caption="Region" columnCount="3" level="1" style="Slicer Style 1" rowHeight="241300"/>
  <slicer name="Payment_Mode" xr10:uid="{3E381DD8-492D-49B6-8990-1E67B163CF1F}" cache="Slicer_Payment_Mode" caption="Payment Mode" columnCount="2" level="1" style="Slicer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872F0-9255-46C3-997D-8B3D757852C8}">
  <dimension ref="A1:P81"/>
  <sheetViews>
    <sheetView topLeftCell="C70" workbookViewId="0">
      <selection sqref="A1:P81"/>
    </sheetView>
  </sheetViews>
  <sheetFormatPr defaultRowHeight="15" x14ac:dyDescent="0.25"/>
  <cols>
    <col min="1" max="1" width="9.85546875" bestFit="1" customWidth="1"/>
    <col min="2" max="2" width="18.28515625" style="4" bestFit="1" customWidth="1"/>
    <col min="3" max="3" width="9.5703125" bestFit="1" customWidth="1"/>
    <col min="4" max="4" width="9.42578125" bestFit="1" customWidth="1"/>
    <col min="5" max="5" width="11.28515625" bestFit="1" customWidth="1"/>
    <col min="6" max="6" width="9.42578125" customWidth="1"/>
    <col min="7" max="7" width="8.7109375" bestFit="1" customWidth="1"/>
    <col min="8" max="8" width="10.28515625" bestFit="1" customWidth="1"/>
    <col min="9" max="9" width="11.28515625" bestFit="1" customWidth="1"/>
    <col min="10" max="10" width="15.28515625" bestFit="1" customWidth="1"/>
    <col min="11" max="12" width="10" bestFit="1" customWidth="1"/>
    <col min="13" max="13" width="9" bestFit="1" customWidth="1"/>
    <col min="15" max="15" width="10.5703125" bestFit="1" customWidth="1"/>
    <col min="16" max="16" width="14.85546875" bestFit="1" customWidth="1"/>
  </cols>
  <sheetData>
    <row r="1" spans="1:16" x14ac:dyDescent="0.25">
      <c r="A1" s="1" t="s">
        <v>0</v>
      </c>
      <c r="B1" s="3" t="s">
        <v>1</v>
      </c>
      <c r="C1" s="1" t="s">
        <v>2</v>
      </c>
      <c r="D1" s="1" t="s">
        <v>3</v>
      </c>
      <c r="E1" s="1" t="s">
        <v>4</v>
      </c>
      <c r="F1" s="1" t="s">
        <v>5</v>
      </c>
      <c r="G1" s="1" t="s">
        <v>6</v>
      </c>
      <c r="H1" s="1" t="s">
        <v>7</v>
      </c>
      <c r="I1" s="1" t="s">
        <v>8</v>
      </c>
      <c r="J1" s="1" t="s">
        <v>9</v>
      </c>
      <c r="K1" s="1" t="s">
        <v>10</v>
      </c>
      <c r="L1" s="1" t="s">
        <v>11</v>
      </c>
      <c r="M1" s="1" t="s">
        <v>12</v>
      </c>
      <c r="N1" s="5" t="s">
        <v>188</v>
      </c>
      <c r="O1" s="5" t="s">
        <v>189</v>
      </c>
      <c r="P1" s="5" t="s">
        <v>191</v>
      </c>
    </row>
    <row r="2" spans="1:16" x14ac:dyDescent="0.25">
      <c r="A2" t="s">
        <v>13</v>
      </c>
      <c r="B2" s="4">
        <v>46023</v>
      </c>
      <c r="C2" t="s">
        <v>93</v>
      </c>
      <c r="D2" t="s">
        <v>171</v>
      </c>
      <c r="E2" t="s">
        <v>177</v>
      </c>
      <c r="F2" t="s">
        <v>179</v>
      </c>
      <c r="G2">
        <v>3</v>
      </c>
      <c r="H2">
        <v>13962</v>
      </c>
      <c r="I2">
        <v>0</v>
      </c>
      <c r="J2" t="s">
        <v>183</v>
      </c>
      <c r="K2">
        <v>41886</v>
      </c>
      <c r="L2">
        <v>28238.14</v>
      </c>
      <c r="M2">
        <v>13647.86</v>
      </c>
      <c r="N2" t="str">
        <f>TEXT(B2,"mmm")</f>
        <v>Jan</v>
      </c>
      <c r="O2">
        <f>MONTH(B2)</f>
        <v>1</v>
      </c>
      <c r="P2" s="2">
        <f>M2/K2</f>
        <v>0.32583345270496111</v>
      </c>
    </row>
    <row r="3" spans="1:16" x14ac:dyDescent="0.25">
      <c r="A3" t="s">
        <v>14</v>
      </c>
      <c r="B3" s="4">
        <v>46025.278481012647</v>
      </c>
      <c r="C3" t="s">
        <v>94</v>
      </c>
      <c r="D3" t="s">
        <v>172</v>
      </c>
      <c r="E3" t="s">
        <v>178</v>
      </c>
      <c r="F3" t="s">
        <v>179</v>
      </c>
      <c r="G3">
        <v>1</v>
      </c>
      <c r="H3">
        <v>3480</v>
      </c>
      <c r="I3">
        <v>5</v>
      </c>
      <c r="J3" t="s">
        <v>184</v>
      </c>
      <c r="K3">
        <v>3306</v>
      </c>
      <c r="L3">
        <v>2339.9699999999998</v>
      </c>
      <c r="M3">
        <v>966.03</v>
      </c>
      <c r="N3" t="str">
        <f t="shared" ref="N3:N66" si="0">TEXT(B3,"mmm")</f>
        <v>Jan</v>
      </c>
      <c r="O3">
        <f t="shared" ref="O3:O66" si="1">MONTH(B3)</f>
        <v>1</v>
      </c>
      <c r="P3" s="2">
        <f t="shared" ref="P3:P66" si="2">M3/K3</f>
        <v>0.29220508166969145</v>
      </c>
    </row>
    <row r="4" spans="1:16" x14ac:dyDescent="0.25">
      <c r="A4" t="s">
        <v>15</v>
      </c>
      <c r="B4" s="4">
        <v>46027.556962025323</v>
      </c>
      <c r="C4" t="s">
        <v>95</v>
      </c>
      <c r="D4" t="s">
        <v>173</v>
      </c>
      <c r="E4" t="s">
        <v>178</v>
      </c>
      <c r="F4" t="s">
        <v>179</v>
      </c>
      <c r="G4">
        <v>2</v>
      </c>
      <c r="H4">
        <v>2160</v>
      </c>
      <c r="I4">
        <v>10</v>
      </c>
      <c r="J4" t="s">
        <v>183</v>
      </c>
      <c r="K4">
        <v>3888</v>
      </c>
      <c r="L4">
        <v>2471.5700000000002</v>
      </c>
      <c r="M4">
        <v>1416.43</v>
      </c>
      <c r="N4" t="str">
        <f t="shared" si="0"/>
        <v>Jan</v>
      </c>
      <c r="O4">
        <f t="shared" si="1"/>
        <v>1</v>
      </c>
      <c r="P4" s="2">
        <f t="shared" si="2"/>
        <v>0.36430812757201647</v>
      </c>
    </row>
    <row r="5" spans="1:16" x14ac:dyDescent="0.25">
      <c r="A5" t="s">
        <v>16</v>
      </c>
      <c r="B5" s="4">
        <v>46029.835443037977</v>
      </c>
      <c r="C5" t="s">
        <v>96</v>
      </c>
      <c r="D5" t="s">
        <v>172</v>
      </c>
      <c r="E5" t="s">
        <v>178</v>
      </c>
      <c r="F5" t="s">
        <v>182</v>
      </c>
      <c r="G5">
        <v>2</v>
      </c>
      <c r="H5">
        <v>3379</v>
      </c>
      <c r="I5">
        <v>5</v>
      </c>
      <c r="J5" t="s">
        <v>183</v>
      </c>
      <c r="K5">
        <v>6420.1</v>
      </c>
      <c r="L5">
        <v>4013.01</v>
      </c>
      <c r="M5">
        <v>2407.09</v>
      </c>
      <c r="N5" t="str">
        <f t="shared" si="0"/>
        <v>Jan</v>
      </c>
      <c r="O5">
        <f t="shared" si="1"/>
        <v>1</v>
      </c>
      <c r="P5" s="2">
        <f t="shared" si="2"/>
        <v>0.37493029703587172</v>
      </c>
    </row>
    <row r="6" spans="1:16" x14ac:dyDescent="0.25">
      <c r="A6" t="s">
        <v>17</v>
      </c>
      <c r="B6" s="4">
        <v>46032.113924050624</v>
      </c>
      <c r="C6" t="s">
        <v>97</v>
      </c>
      <c r="D6" t="s">
        <v>172</v>
      </c>
      <c r="E6" t="s">
        <v>178</v>
      </c>
      <c r="F6" t="s">
        <v>179</v>
      </c>
      <c r="G6">
        <v>4</v>
      </c>
      <c r="H6">
        <v>3197</v>
      </c>
      <c r="I6">
        <v>10</v>
      </c>
      <c r="J6" t="s">
        <v>184</v>
      </c>
      <c r="K6">
        <v>11509.2</v>
      </c>
      <c r="L6">
        <v>9351.57</v>
      </c>
      <c r="M6">
        <v>2157.63</v>
      </c>
      <c r="N6" t="str">
        <f t="shared" si="0"/>
        <v>Jan</v>
      </c>
      <c r="O6">
        <f t="shared" si="1"/>
        <v>1</v>
      </c>
      <c r="P6" s="2">
        <f t="shared" si="2"/>
        <v>0.18747002398081536</v>
      </c>
    </row>
    <row r="7" spans="1:16" x14ac:dyDescent="0.25">
      <c r="A7" t="s">
        <v>18</v>
      </c>
      <c r="B7" s="4">
        <v>46034.392405063278</v>
      </c>
      <c r="C7" t="s">
        <v>98</v>
      </c>
      <c r="D7" t="s">
        <v>174</v>
      </c>
      <c r="E7" t="s">
        <v>178</v>
      </c>
      <c r="F7" t="s">
        <v>179</v>
      </c>
      <c r="G7">
        <v>5</v>
      </c>
      <c r="H7">
        <v>1276</v>
      </c>
      <c r="I7">
        <v>5</v>
      </c>
      <c r="J7" t="s">
        <v>185</v>
      </c>
      <c r="K7">
        <v>6061</v>
      </c>
      <c r="L7">
        <v>4771.2</v>
      </c>
      <c r="M7">
        <v>1289.8</v>
      </c>
      <c r="N7" t="str">
        <f t="shared" si="0"/>
        <v>Jan</v>
      </c>
      <c r="O7">
        <f t="shared" si="1"/>
        <v>1</v>
      </c>
      <c r="P7" s="2">
        <f t="shared" si="2"/>
        <v>0.21280316779409339</v>
      </c>
    </row>
    <row r="8" spans="1:16" x14ac:dyDescent="0.25">
      <c r="A8" t="s">
        <v>19</v>
      </c>
      <c r="B8" s="4">
        <v>46036.670886075954</v>
      </c>
      <c r="C8" t="s">
        <v>99</v>
      </c>
      <c r="D8" t="s">
        <v>173</v>
      </c>
      <c r="E8" t="s">
        <v>178</v>
      </c>
      <c r="F8" t="s">
        <v>179</v>
      </c>
      <c r="G8">
        <v>1</v>
      </c>
      <c r="H8">
        <v>2503</v>
      </c>
      <c r="I8">
        <v>0</v>
      </c>
      <c r="J8" t="s">
        <v>184</v>
      </c>
      <c r="K8">
        <v>2503</v>
      </c>
      <c r="L8">
        <v>1900.26</v>
      </c>
      <c r="M8">
        <v>602.74</v>
      </c>
      <c r="N8" t="str">
        <f t="shared" si="0"/>
        <v>Jan</v>
      </c>
      <c r="O8">
        <f t="shared" si="1"/>
        <v>1</v>
      </c>
      <c r="P8" s="2">
        <f t="shared" si="2"/>
        <v>0.24080703156212546</v>
      </c>
    </row>
    <row r="9" spans="1:16" x14ac:dyDescent="0.25">
      <c r="A9" t="s">
        <v>20</v>
      </c>
      <c r="B9" s="4">
        <v>46038.9493670886</v>
      </c>
      <c r="C9" t="s">
        <v>100</v>
      </c>
      <c r="D9" t="s">
        <v>173</v>
      </c>
      <c r="E9" t="s">
        <v>178</v>
      </c>
      <c r="F9" t="s">
        <v>180</v>
      </c>
      <c r="G9">
        <v>1</v>
      </c>
      <c r="H9">
        <v>2391</v>
      </c>
      <c r="I9">
        <v>15</v>
      </c>
      <c r="J9" t="s">
        <v>185</v>
      </c>
      <c r="K9">
        <v>2032.35</v>
      </c>
      <c r="L9">
        <v>1426.28</v>
      </c>
      <c r="M9">
        <v>606.07000000000005</v>
      </c>
      <c r="N9" t="str">
        <f t="shared" si="0"/>
        <v>Jan</v>
      </c>
      <c r="O9">
        <f t="shared" si="1"/>
        <v>1</v>
      </c>
      <c r="P9" s="2">
        <f t="shared" si="2"/>
        <v>0.2982114301178439</v>
      </c>
    </row>
    <row r="10" spans="1:16" x14ac:dyDescent="0.25">
      <c r="A10" t="s">
        <v>21</v>
      </c>
      <c r="B10" s="4">
        <v>46041.227848101262</v>
      </c>
      <c r="C10" t="s">
        <v>101</v>
      </c>
      <c r="D10" t="s">
        <v>173</v>
      </c>
      <c r="E10" t="s">
        <v>178</v>
      </c>
      <c r="F10" t="s">
        <v>179</v>
      </c>
      <c r="G10">
        <v>3</v>
      </c>
      <c r="H10">
        <v>2134</v>
      </c>
      <c r="I10">
        <v>0</v>
      </c>
      <c r="J10" t="s">
        <v>184</v>
      </c>
      <c r="K10">
        <v>6402</v>
      </c>
      <c r="L10">
        <v>4191.13</v>
      </c>
      <c r="M10">
        <v>2210.87</v>
      </c>
      <c r="N10" t="str">
        <f t="shared" si="0"/>
        <v>Jan</v>
      </c>
      <c r="O10">
        <f t="shared" si="1"/>
        <v>1</v>
      </c>
      <c r="P10" s="2">
        <f t="shared" si="2"/>
        <v>0.34534051858794124</v>
      </c>
    </row>
    <row r="11" spans="1:16" x14ac:dyDescent="0.25">
      <c r="A11" t="s">
        <v>22</v>
      </c>
      <c r="B11" s="4">
        <v>46043.506329113923</v>
      </c>
      <c r="C11" t="s">
        <v>102</v>
      </c>
      <c r="D11" t="s">
        <v>172</v>
      </c>
      <c r="E11" t="s">
        <v>178</v>
      </c>
      <c r="F11" t="s">
        <v>181</v>
      </c>
      <c r="G11">
        <v>2</v>
      </c>
      <c r="H11">
        <v>2994</v>
      </c>
      <c r="I11">
        <v>15</v>
      </c>
      <c r="J11" t="s">
        <v>183</v>
      </c>
      <c r="K11">
        <v>5089.8</v>
      </c>
      <c r="L11">
        <v>3314.92</v>
      </c>
      <c r="M11">
        <v>1774.88</v>
      </c>
      <c r="N11" t="str">
        <f t="shared" si="0"/>
        <v>Jan</v>
      </c>
      <c r="O11">
        <f t="shared" si="1"/>
        <v>1</v>
      </c>
      <c r="P11" s="2">
        <f t="shared" si="2"/>
        <v>0.34871311249950881</v>
      </c>
    </row>
    <row r="12" spans="1:16" x14ac:dyDescent="0.25">
      <c r="A12" t="s">
        <v>23</v>
      </c>
      <c r="B12" s="4">
        <v>46045.784810126577</v>
      </c>
      <c r="C12" t="s">
        <v>103</v>
      </c>
      <c r="D12" t="s">
        <v>171</v>
      </c>
      <c r="E12" t="s">
        <v>177</v>
      </c>
      <c r="F12" t="s">
        <v>179</v>
      </c>
      <c r="G12">
        <v>5</v>
      </c>
      <c r="H12">
        <v>14200</v>
      </c>
      <c r="I12">
        <v>5</v>
      </c>
      <c r="J12" t="s">
        <v>183</v>
      </c>
      <c r="K12">
        <v>67450</v>
      </c>
      <c r="L12">
        <v>45194.78</v>
      </c>
      <c r="M12">
        <v>22255.22</v>
      </c>
      <c r="N12" t="str">
        <f t="shared" si="0"/>
        <v>Jan</v>
      </c>
      <c r="O12">
        <f t="shared" si="1"/>
        <v>1</v>
      </c>
      <c r="P12" s="2">
        <f t="shared" si="2"/>
        <v>0.329951371386212</v>
      </c>
    </row>
    <row r="13" spans="1:16" x14ac:dyDescent="0.25">
      <c r="A13" t="s">
        <v>24</v>
      </c>
      <c r="B13" s="4">
        <v>46048.063291139239</v>
      </c>
      <c r="C13" t="s">
        <v>104</v>
      </c>
      <c r="D13" t="s">
        <v>173</v>
      </c>
      <c r="E13" t="s">
        <v>178</v>
      </c>
      <c r="F13" t="s">
        <v>181</v>
      </c>
      <c r="G13">
        <v>4</v>
      </c>
      <c r="H13">
        <v>2639</v>
      </c>
      <c r="I13">
        <v>10</v>
      </c>
      <c r="J13" t="s">
        <v>186</v>
      </c>
      <c r="K13">
        <v>9500.4</v>
      </c>
      <c r="L13">
        <v>6933.82</v>
      </c>
      <c r="M13">
        <v>2566.58</v>
      </c>
      <c r="N13" t="str">
        <f t="shared" si="0"/>
        <v>Jan</v>
      </c>
      <c r="O13">
        <f t="shared" si="1"/>
        <v>1</v>
      </c>
      <c r="P13" s="2">
        <f t="shared" si="2"/>
        <v>0.27015494084459601</v>
      </c>
    </row>
    <row r="14" spans="1:16" x14ac:dyDescent="0.25">
      <c r="A14" t="s">
        <v>25</v>
      </c>
      <c r="B14" s="4">
        <v>46050.3417721519</v>
      </c>
      <c r="C14" t="s">
        <v>105</v>
      </c>
      <c r="D14" t="s">
        <v>172</v>
      </c>
      <c r="E14" t="s">
        <v>178</v>
      </c>
      <c r="F14" t="s">
        <v>181</v>
      </c>
      <c r="G14">
        <v>2</v>
      </c>
      <c r="H14">
        <v>2832</v>
      </c>
      <c r="I14">
        <v>0</v>
      </c>
      <c r="J14" t="s">
        <v>185</v>
      </c>
      <c r="K14">
        <v>5664</v>
      </c>
      <c r="L14">
        <v>4321.17</v>
      </c>
      <c r="M14">
        <v>1342.83</v>
      </c>
      <c r="N14" t="str">
        <f t="shared" si="0"/>
        <v>Jan</v>
      </c>
      <c r="O14">
        <f t="shared" si="1"/>
        <v>1</v>
      </c>
      <c r="P14" s="2">
        <f t="shared" si="2"/>
        <v>0.23708156779661016</v>
      </c>
    </row>
    <row r="15" spans="1:16" x14ac:dyDescent="0.25">
      <c r="A15" t="s">
        <v>26</v>
      </c>
      <c r="B15" s="4">
        <v>46052.620253164547</v>
      </c>
      <c r="C15" t="s">
        <v>106</v>
      </c>
      <c r="D15" t="s">
        <v>174</v>
      </c>
      <c r="E15" t="s">
        <v>178</v>
      </c>
      <c r="F15" t="s">
        <v>181</v>
      </c>
      <c r="G15">
        <v>4</v>
      </c>
      <c r="H15">
        <v>1687</v>
      </c>
      <c r="I15">
        <v>15</v>
      </c>
      <c r="J15" t="s">
        <v>186</v>
      </c>
      <c r="K15">
        <v>5735.8</v>
      </c>
      <c r="L15">
        <v>4313.55</v>
      </c>
      <c r="M15">
        <v>1422.25</v>
      </c>
      <c r="N15" t="str">
        <f t="shared" si="0"/>
        <v>Jan</v>
      </c>
      <c r="O15">
        <f t="shared" si="1"/>
        <v>1</v>
      </c>
      <c r="P15" s="2">
        <f t="shared" si="2"/>
        <v>0.24796017992259142</v>
      </c>
    </row>
    <row r="16" spans="1:16" x14ac:dyDescent="0.25">
      <c r="A16" t="s">
        <v>27</v>
      </c>
      <c r="B16" s="4">
        <v>46054.898734177208</v>
      </c>
      <c r="C16" t="s">
        <v>107</v>
      </c>
      <c r="D16" t="s">
        <v>171</v>
      </c>
      <c r="E16" t="s">
        <v>177</v>
      </c>
      <c r="F16" t="s">
        <v>180</v>
      </c>
      <c r="G16">
        <v>3</v>
      </c>
      <c r="H16">
        <v>14259</v>
      </c>
      <c r="I16">
        <v>0</v>
      </c>
      <c r="J16" t="s">
        <v>186</v>
      </c>
      <c r="K16">
        <v>42777</v>
      </c>
      <c r="L16">
        <v>28916.69</v>
      </c>
      <c r="M16">
        <v>13860.31</v>
      </c>
      <c r="N16" t="str">
        <f t="shared" si="0"/>
        <v>Feb</v>
      </c>
      <c r="O16">
        <f t="shared" si="1"/>
        <v>2</v>
      </c>
      <c r="P16" s="2">
        <f t="shared" si="2"/>
        <v>0.32401313790120856</v>
      </c>
    </row>
    <row r="17" spans="1:16" x14ac:dyDescent="0.25">
      <c r="A17" t="s">
        <v>28</v>
      </c>
      <c r="B17" s="4">
        <v>46057.177215189869</v>
      </c>
      <c r="C17" t="s">
        <v>192</v>
      </c>
      <c r="D17" t="s">
        <v>174</v>
      </c>
      <c r="E17" t="s">
        <v>178</v>
      </c>
      <c r="F17" t="s">
        <v>180</v>
      </c>
      <c r="G17">
        <v>3</v>
      </c>
      <c r="H17">
        <v>1469</v>
      </c>
      <c r="I17">
        <v>15</v>
      </c>
      <c r="J17" t="s">
        <v>184</v>
      </c>
      <c r="K17">
        <v>3745.95</v>
      </c>
      <c r="L17">
        <v>3037.86</v>
      </c>
      <c r="M17">
        <v>708.09</v>
      </c>
      <c r="N17" t="str">
        <f t="shared" si="0"/>
        <v>Feb</v>
      </c>
      <c r="O17">
        <f t="shared" si="1"/>
        <v>2</v>
      </c>
      <c r="P17" s="2">
        <f t="shared" si="2"/>
        <v>0.18902815040243465</v>
      </c>
    </row>
    <row r="18" spans="1:16" x14ac:dyDescent="0.25">
      <c r="A18" t="s">
        <v>29</v>
      </c>
      <c r="B18" s="4">
        <v>46059.455696202524</v>
      </c>
      <c r="C18" t="s">
        <v>108</v>
      </c>
      <c r="D18" t="s">
        <v>171</v>
      </c>
      <c r="E18" t="s">
        <v>177</v>
      </c>
      <c r="F18" t="s">
        <v>180</v>
      </c>
      <c r="G18">
        <v>1</v>
      </c>
      <c r="H18">
        <v>14174</v>
      </c>
      <c r="I18">
        <v>0</v>
      </c>
      <c r="J18" t="s">
        <v>186</v>
      </c>
      <c r="K18">
        <v>14174</v>
      </c>
      <c r="L18">
        <v>10879.67</v>
      </c>
      <c r="M18">
        <v>3294.33</v>
      </c>
      <c r="N18" t="str">
        <f t="shared" si="0"/>
        <v>Feb</v>
      </c>
      <c r="O18">
        <f t="shared" si="1"/>
        <v>2</v>
      </c>
      <c r="P18" s="2">
        <f t="shared" si="2"/>
        <v>0.23242062932129251</v>
      </c>
    </row>
    <row r="19" spans="1:16" x14ac:dyDescent="0.25">
      <c r="A19" t="s">
        <v>30</v>
      </c>
      <c r="B19" s="4">
        <v>46061.734177215178</v>
      </c>
      <c r="C19" t="s">
        <v>109</v>
      </c>
      <c r="D19" t="s">
        <v>172</v>
      </c>
      <c r="E19" t="s">
        <v>178</v>
      </c>
      <c r="F19" t="s">
        <v>179</v>
      </c>
      <c r="G19">
        <v>5</v>
      </c>
      <c r="H19">
        <v>2821</v>
      </c>
      <c r="I19">
        <v>15</v>
      </c>
      <c r="J19" t="s">
        <v>184</v>
      </c>
      <c r="K19">
        <v>11989.25</v>
      </c>
      <c r="L19">
        <v>8762.59</v>
      </c>
      <c r="M19">
        <v>3226.66</v>
      </c>
      <c r="N19" t="str">
        <f t="shared" si="0"/>
        <v>Feb</v>
      </c>
      <c r="O19">
        <f t="shared" si="1"/>
        <v>2</v>
      </c>
      <c r="P19" s="2">
        <f t="shared" si="2"/>
        <v>0.26912942844631649</v>
      </c>
    </row>
    <row r="20" spans="1:16" x14ac:dyDescent="0.25">
      <c r="A20" t="s">
        <v>31</v>
      </c>
      <c r="B20" s="4">
        <v>46064.012658227854</v>
      </c>
      <c r="C20" t="s">
        <v>110</v>
      </c>
      <c r="D20" t="s">
        <v>175</v>
      </c>
      <c r="E20" t="s">
        <v>177</v>
      </c>
      <c r="F20" t="s">
        <v>181</v>
      </c>
      <c r="G20">
        <v>4</v>
      </c>
      <c r="H20">
        <v>55469</v>
      </c>
      <c r="I20">
        <v>15</v>
      </c>
      <c r="J20" t="s">
        <v>184</v>
      </c>
      <c r="K20">
        <v>188594.6</v>
      </c>
      <c r="L20">
        <v>140002.1</v>
      </c>
      <c r="M20">
        <v>48592.5</v>
      </c>
      <c r="N20" t="str">
        <f t="shared" si="0"/>
        <v>Feb</v>
      </c>
      <c r="O20">
        <f t="shared" si="1"/>
        <v>2</v>
      </c>
      <c r="P20" s="2">
        <f t="shared" si="2"/>
        <v>0.25765583956274463</v>
      </c>
    </row>
    <row r="21" spans="1:16" x14ac:dyDescent="0.25">
      <c r="A21" t="s">
        <v>32</v>
      </c>
      <c r="B21" s="4">
        <v>46066.2911392405</v>
      </c>
      <c r="C21" t="s">
        <v>111</v>
      </c>
      <c r="D21" t="s">
        <v>171</v>
      </c>
      <c r="E21" t="s">
        <v>177</v>
      </c>
      <c r="F21" t="s">
        <v>180</v>
      </c>
      <c r="G21">
        <v>2</v>
      </c>
      <c r="H21">
        <v>13837</v>
      </c>
      <c r="I21">
        <v>5</v>
      </c>
      <c r="J21" t="s">
        <v>186</v>
      </c>
      <c r="K21">
        <v>26290.3</v>
      </c>
      <c r="L21">
        <v>18506.27</v>
      </c>
      <c r="M21">
        <v>7784.03</v>
      </c>
      <c r="N21" t="str">
        <f t="shared" si="0"/>
        <v>Feb</v>
      </c>
      <c r="O21">
        <f t="shared" si="1"/>
        <v>2</v>
      </c>
      <c r="P21" s="2">
        <f t="shared" si="2"/>
        <v>0.29607992301343083</v>
      </c>
    </row>
    <row r="22" spans="1:16" x14ac:dyDescent="0.25">
      <c r="A22" t="s">
        <v>33</v>
      </c>
      <c r="B22" s="4">
        <v>46068.569620253162</v>
      </c>
      <c r="C22" t="s">
        <v>112</v>
      </c>
      <c r="D22" t="s">
        <v>174</v>
      </c>
      <c r="E22" t="s">
        <v>178</v>
      </c>
      <c r="F22" t="s">
        <v>180</v>
      </c>
      <c r="G22">
        <v>3</v>
      </c>
      <c r="H22">
        <v>1229</v>
      </c>
      <c r="I22">
        <v>15</v>
      </c>
      <c r="J22" t="s">
        <v>185</v>
      </c>
      <c r="K22">
        <v>3133.95</v>
      </c>
      <c r="L22">
        <v>2098.3200000000002</v>
      </c>
      <c r="M22">
        <v>1035.6300000000001</v>
      </c>
      <c r="N22" t="str">
        <f t="shared" si="0"/>
        <v>Feb</v>
      </c>
      <c r="O22">
        <f t="shared" si="1"/>
        <v>2</v>
      </c>
      <c r="P22" s="2">
        <f t="shared" si="2"/>
        <v>0.33045517637486244</v>
      </c>
    </row>
    <row r="23" spans="1:16" x14ac:dyDescent="0.25">
      <c r="A23" t="s">
        <v>34</v>
      </c>
      <c r="B23" s="4">
        <v>46070.848101265823</v>
      </c>
      <c r="C23" t="s">
        <v>113</v>
      </c>
      <c r="D23" t="s">
        <v>172</v>
      </c>
      <c r="E23" t="s">
        <v>178</v>
      </c>
      <c r="F23" t="s">
        <v>179</v>
      </c>
      <c r="G23">
        <v>1</v>
      </c>
      <c r="H23">
        <v>3164</v>
      </c>
      <c r="I23">
        <v>5</v>
      </c>
      <c r="J23" t="s">
        <v>185</v>
      </c>
      <c r="K23">
        <v>3005.8</v>
      </c>
      <c r="L23">
        <v>2077.59</v>
      </c>
      <c r="M23">
        <v>928.21</v>
      </c>
      <c r="N23" t="str">
        <f t="shared" si="0"/>
        <v>Feb</v>
      </c>
      <c r="O23">
        <f t="shared" si="1"/>
        <v>2</v>
      </c>
      <c r="P23" s="2">
        <f t="shared" si="2"/>
        <v>0.30880630780491047</v>
      </c>
    </row>
    <row r="24" spans="1:16" x14ac:dyDescent="0.25">
      <c r="A24" t="s">
        <v>35</v>
      </c>
      <c r="B24" s="4">
        <v>46073.12658227847</v>
      </c>
      <c r="C24" t="s">
        <v>114</v>
      </c>
      <c r="D24" t="s">
        <v>176</v>
      </c>
      <c r="E24" t="s">
        <v>177</v>
      </c>
      <c r="F24" t="s">
        <v>180</v>
      </c>
      <c r="G24">
        <v>1</v>
      </c>
      <c r="H24">
        <v>14362</v>
      </c>
      <c r="I24">
        <v>15</v>
      </c>
      <c r="J24" t="s">
        <v>185</v>
      </c>
      <c r="K24">
        <v>12207.7</v>
      </c>
      <c r="L24">
        <v>9419.09</v>
      </c>
      <c r="M24">
        <v>2788.61</v>
      </c>
      <c r="N24" t="str">
        <f t="shared" si="0"/>
        <v>Feb</v>
      </c>
      <c r="O24">
        <f t="shared" si="1"/>
        <v>2</v>
      </c>
      <c r="P24" s="2">
        <f t="shared" si="2"/>
        <v>0.2284304168680423</v>
      </c>
    </row>
    <row r="25" spans="1:16" x14ac:dyDescent="0.25">
      <c r="A25" t="s">
        <v>36</v>
      </c>
      <c r="B25" s="4">
        <v>46075.405063291131</v>
      </c>
      <c r="C25" t="s">
        <v>115</v>
      </c>
      <c r="D25" t="s">
        <v>175</v>
      </c>
      <c r="E25" t="s">
        <v>177</v>
      </c>
      <c r="F25" t="s">
        <v>179</v>
      </c>
      <c r="G25">
        <v>4</v>
      </c>
      <c r="H25">
        <v>55237</v>
      </c>
      <c r="I25">
        <v>10</v>
      </c>
      <c r="J25" t="s">
        <v>185</v>
      </c>
      <c r="K25">
        <v>198853.2</v>
      </c>
      <c r="L25">
        <v>123861.42</v>
      </c>
      <c r="M25">
        <v>74991.78</v>
      </c>
      <c r="N25" t="str">
        <f t="shared" si="0"/>
        <v>Feb</v>
      </c>
      <c r="O25">
        <f t="shared" si="1"/>
        <v>2</v>
      </c>
      <c r="P25" s="2">
        <f t="shared" si="2"/>
        <v>0.37712131361225265</v>
      </c>
    </row>
    <row r="26" spans="1:16" x14ac:dyDescent="0.25">
      <c r="A26" t="s">
        <v>37</v>
      </c>
      <c r="B26" s="4">
        <v>46077.6835443038</v>
      </c>
      <c r="C26" t="s">
        <v>116</v>
      </c>
      <c r="D26" t="s">
        <v>175</v>
      </c>
      <c r="E26" t="s">
        <v>177</v>
      </c>
      <c r="F26" t="s">
        <v>182</v>
      </c>
      <c r="G26">
        <v>3</v>
      </c>
      <c r="H26">
        <v>55082</v>
      </c>
      <c r="I26">
        <v>10</v>
      </c>
      <c r="J26" t="s">
        <v>185</v>
      </c>
      <c r="K26">
        <v>148721.4</v>
      </c>
      <c r="L26">
        <v>95659.77</v>
      </c>
      <c r="M26">
        <v>53061.63</v>
      </c>
      <c r="N26" t="str">
        <f t="shared" si="0"/>
        <v>Feb</v>
      </c>
      <c r="O26">
        <f t="shared" si="1"/>
        <v>2</v>
      </c>
      <c r="P26" s="2">
        <f t="shared" si="2"/>
        <v>0.3567854390827413</v>
      </c>
    </row>
    <row r="27" spans="1:16" x14ac:dyDescent="0.25">
      <c r="A27" t="s">
        <v>38</v>
      </c>
      <c r="B27" s="4">
        <v>46079.962025316447</v>
      </c>
      <c r="C27" t="s">
        <v>117</v>
      </c>
      <c r="D27" t="s">
        <v>173</v>
      </c>
      <c r="E27" t="s">
        <v>178</v>
      </c>
      <c r="F27" t="s">
        <v>180</v>
      </c>
      <c r="G27">
        <v>5</v>
      </c>
      <c r="H27">
        <v>2026</v>
      </c>
      <c r="I27">
        <v>10</v>
      </c>
      <c r="J27" t="s">
        <v>186</v>
      </c>
      <c r="K27">
        <v>9117</v>
      </c>
      <c r="L27">
        <v>5736.42</v>
      </c>
      <c r="M27">
        <v>3380.58</v>
      </c>
      <c r="N27" t="str">
        <f t="shared" si="0"/>
        <v>Feb</v>
      </c>
      <c r="O27">
        <f t="shared" si="1"/>
        <v>2</v>
      </c>
      <c r="P27" s="2">
        <f t="shared" si="2"/>
        <v>0.37079960513326754</v>
      </c>
    </row>
    <row r="28" spans="1:16" x14ac:dyDescent="0.25">
      <c r="A28" t="s">
        <v>39</v>
      </c>
      <c r="B28" s="4">
        <v>46082.240506329108</v>
      </c>
      <c r="C28" t="s">
        <v>118</v>
      </c>
      <c r="D28" t="s">
        <v>173</v>
      </c>
      <c r="E28" t="s">
        <v>178</v>
      </c>
      <c r="F28" t="s">
        <v>182</v>
      </c>
      <c r="G28">
        <v>3</v>
      </c>
      <c r="H28">
        <v>2225</v>
      </c>
      <c r="I28">
        <v>15</v>
      </c>
      <c r="J28" t="s">
        <v>186</v>
      </c>
      <c r="K28">
        <v>5673.75</v>
      </c>
      <c r="L28">
        <v>3563.94</v>
      </c>
      <c r="M28">
        <v>2109.81</v>
      </c>
      <c r="N28" t="str">
        <f t="shared" si="0"/>
        <v>Mar</v>
      </c>
      <c r="O28">
        <f t="shared" si="1"/>
        <v>3</v>
      </c>
      <c r="P28" s="2">
        <f t="shared" si="2"/>
        <v>0.37185459352280237</v>
      </c>
    </row>
    <row r="29" spans="1:16" x14ac:dyDescent="0.25">
      <c r="A29" t="s">
        <v>40</v>
      </c>
      <c r="B29" s="4">
        <v>46084.518987341769</v>
      </c>
      <c r="C29" t="s">
        <v>119</v>
      </c>
      <c r="D29" t="s">
        <v>174</v>
      </c>
      <c r="E29" t="s">
        <v>178</v>
      </c>
      <c r="F29" t="s">
        <v>179</v>
      </c>
      <c r="G29">
        <v>4</v>
      </c>
      <c r="H29">
        <v>1276</v>
      </c>
      <c r="I29">
        <v>5</v>
      </c>
      <c r="J29" t="s">
        <v>183</v>
      </c>
      <c r="K29">
        <v>4848.8</v>
      </c>
      <c r="L29">
        <v>3835.85</v>
      </c>
      <c r="M29">
        <v>1012.95</v>
      </c>
      <c r="N29" t="str">
        <f t="shared" si="0"/>
        <v>Mar</v>
      </c>
      <c r="O29">
        <f t="shared" si="1"/>
        <v>3</v>
      </c>
      <c r="P29" s="2">
        <f t="shared" si="2"/>
        <v>0.20890735852169609</v>
      </c>
    </row>
    <row r="30" spans="1:16" x14ac:dyDescent="0.25">
      <c r="A30" t="s">
        <v>41</v>
      </c>
      <c r="B30" s="4">
        <v>46086.797468354423</v>
      </c>
      <c r="C30" t="s">
        <v>120</v>
      </c>
      <c r="D30" t="s">
        <v>171</v>
      </c>
      <c r="E30" t="s">
        <v>177</v>
      </c>
      <c r="F30" t="s">
        <v>181</v>
      </c>
      <c r="G30">
        <v>4</v>
      </c>
      <c r="H30">
        <v>14408</v>
      </c>
      <c r="I30">
        <v>5</v>
      </c>
      <c r="J30" t="s">
        <v>185</v>
      </c>
      <c r="K30">
        <v>54750.400000000001</v>
      </c>
      <c r="L30">
        <v>41650.36</v>
      </c>
      <c r="M30">
        <v>13100.04</v>
      </c>
      <c r="N30" t="str">
        <f t="shared" si="0"/>
        <v>Mar</v>
      </c>
      <c r="O30">
        <f t="shared" si="1"/>
        <v>3</v>
      </c>
      <c r="P30" s="2">
        <f t="shared" si="2"/>
        <v>0.23926838890674773</v>
      </c>
    </row>
    <row r="31" spans="1:16" x14ac:dyDescent="0.25">
      <c r="A31" t="s">
        <v>42</v>
      </c>
      <c r="B31" s="4">
        <v>46089.075949367078</v>
      </c>
      <c r="C31" t="s">
        <v>121</v>
      </c>
      <c r="D31" t="s">
        <v>171</v>
      </c>
      <c r="E31" t="s">
        <v>177</v>
      </c>
      <c r="F31" t="s">
        <v>180</v>
      </c>
      <c r="G31">
        <v>3</v>
      </c>
      <c r="H31">
        <v>14083</v>
      </c>
      <c r="I31">
        <v>15</v>
      </c>
      <c r="J31" t="s">
        <v>186</v>
      </c>
      <c r="K31">
        <v>35911.65</v>
      </c>
      <c r="L31">
        <v>25670.9</v>
      </c>
      <c r="M31">
        <v>10240.75</v>
      </c>
      <c r="N31" t="str">
        <f t="shared" si="0"/>
        <v>Mar</v>
      </c>
      <c r="O31">
        <f t="shared" si="1"/>
        <v>3</v>
      </c>
      <c r="P31" s="2">
        <f t="shared" si="2"/>
        <v>0.28516512051103193</v>
      </c>
    </row>
    <row r="32" spans="1:16" x14ac:dyDescent="0.25">
      <c r="A32" t="s">
        <v>43</v>
      </c>
      <c r="B32" s="4">
        <v>46091.354430379753</v>
      </c>
      <c r="C32" t="s">
        <v>122</v>
      </c>
      <c r="D32" t="s">
        <v>173</v>
      </c>
      <c r="E32" t="s">
        <v>178</v>
      </c>
      <c r="F32" t="s">
        <v>179</v>
      </c>
      <c r="G32">
        <v>4</v>
      </c>
      <c r="H32">
        <v>2480</v>
      </c>
      <c r="I32">
        <v>10</v>
      </c>
      <c r="J32" t="s">
        <v>183</v>
      </c>
      <c r="K32">
        <v>8928</v>
      </c>
      <c r="L32">
        <v>5710.05</v>
      </c>
      <c r="M32">
        <v>3217.95</v>
      </c>
      <c r="N32" t="str">
        <f t="shared" si="0"/>
        <v>Mar</v>
      </c>
      <c r="O32">
        <f t="shared" si="1"/>
        <v>3</v>
      </c>
      <c r="P32" s="2">
        <f t="shared" si="2"/>
        <v>0.36043346774193546</v>
      </c>
    </row>
    <row r="33" spans="1:16" x14ac:dyDescent="0.25">
      <c r="A33" t="s">
        <v>44</v>
      </c>
      <c r="B33" s="4">
        <v>46093.632911392393</v>
      </c>
      <c r="C33" t="s">
        <v>123</v>
      </c>
      <c r="D33" t="s">
        <v>171</v>
      </c>
      <c r="E33" t="s">
        <v>177</v>
      </c>
      <c r="F33" t="s">
        <v>181</v>
      </c>
      <c r="G33">
        <v>3</v>
      </c>
      <c r="H33">
        <v>14252</v>
      </c>
      <c r="I33">
        <v>0</v>
      </c>
      <c r="J33" t="s">
        <v>185</v>
      </c>
      <c r="K33">
        <v>38480.400000000001</v>
      </c>
      <c r="L33">
        <v>27641.360000000001</v>
      </c>
      <c r="M33">
        <v>10839.04</v>
      </c>
      <c r="N33" t="str">
        <f t="shared" si="0"/>
        <v>Mar</v>
      </c>
      <c r="O33">
        <f t="shared" si="1"/>
        <v>3</v>
      </c>
      <c r="P33" s="2">
        <f t="shared" si="2"/>
        <v>0.28167690564547149</v>
      </c>
    </row>
    <row r="34" spans="1:16" x14ac:dyDescent="0.25">
      <c r="A34" t="s">
        <v>45</v>
      </c>
      <c r="B34" s="4">
        <v>46095.911392405047</v>
      </c>
      <c r="C34" t="s">
        <v>124</v>
      </c>
      <c r="D34" t="s">
        <v>171</v>
      </c>
      <c r="E34" t="s">
        <v>177</v>
      </c>
      <c r="F34" t="s">
        <v>181</v>
      </c>
      <c r="G34">
        <v>2</v>
      </c>
      <c r="H34">
        <v>14458</v>
      </c>
      <c r="I34">
        <v>5</v>
      </c>
      <c r="J34" t="s">
        <v>184</v>
      </c>
      <c r="K34">
        <v>27470.2</v>
      </c>
      <c r="L34">
        <v>19632.8</v>
      </c>
      <c r="M34">
        <v>7837.4</v>
      </c>
      <c r="N34" t="str">
        <f t="shared" si="0"/>
        <v>Mar</v>
      </c>
      <c r="O34">
        <f t="shared" si="1"/>
        <v>3</v>
      </c>
      <c r="P34" s="2">
        <f t="shared" si="2"/>
        <v>0.28530553108459344</v>
      </c>
    </row>
    <row r="35" spans="1:16" x14ac:dyDescent="0.25">
      <c r="A35" t="s">
        <v>46</v>
      </c>
      <c r="B35" s="4">
        <v>46098.189873417723</v>
      </c>
      <c r="C35" t="s">
        <v>125</v>
      </c>
      <c r="D35" t="s">
        <v>175</v>
      </c>
      <c r="E35" t="s">
        <v>177</v>
      </c>
      <c r="F35" t="s">
        <v>182</v>
      </c>
      <c r="G35">
        <v>3</v>
      </c>
      <c r="H35">
        <v>55315</v>
      </c>
      <c r="I35">
        <v>10</v>
      </c>
      <c r="J35" t="s">
        <v>183</v>
      </c>
      <c r="K35">
        <v>149350.5</v>
      </c>
      <c r="L35">
        <v>97770.87</v>
      </c>
      <c r="M35">
        <v>51579.63</v>
      </c>
      <c r="N35" t="str">
        <f t="shared" si="0"/>
        <v>Mar</v>
      </c>
      <c r="O35">
        <f t="shared" si="1"/>
        <v>3</v>
      </c>
      <c r="P35" s="2">
        <f t="shared" si="2"/>
        <v>0.34535960709873753</v>
      </c>
    </row>
    <row r="36" spans="1:16" x14ac:dyDescent="0.25">
      <c r="A36" t="s">
        <v>47</v>
      </c>
      <c r="B36" s="4">
        <v>46100.46835443037</v>
      </c>
      <c r="C36" t="s">
        <v>126</v>
      </c>
      <c r="D36" t="s">
        <v>173</v>
      </c>
      <c r="E36" t="s">
        <v>178</v>
      </c>
      <c r="F36" t="s">
        <v>179</v>
      </c>
      <c r="G36">
        <v>3</v>
      </c>
      <c r="H36">
        <v>2546</v>
      </c>
      <c r="I36">
        <v>0</v>
      </c>
      <c r="J36" t="s">
        <v>186</v>
      </c>
      <c r="K36">
        <v>7638</v>
      </c>
      <c r="L36">
        <v>5398.31</v>
      </c>
      <c r="M36">
        <v>2239.69</v>
      </c>
      <c r="N36" t="str">
        <f t="shared" si="0"/>
        <v>Mar</v>
      </c>
      <c r="O36">
        <f t="shared" si="1"/>
        <v>3</v>
      </c>
      <c r="P36" s="2">
        <f t="shared" si="2"/>
        <v>0.29322990311599895</v>
      </c>
    </row>
    <row r="37" spans="1:16" x14ac:dyDescent="0.25">
      <c r="A37" t="s">
        <v>48</v>
      </c>
      <c r="B37" s="4">
        <v>46102.746835443031</v>
      </c>
      <c r="C37" t="s">
        <v>127</v>
      </c>
      <c r="D37" t="s">
        <v>172</v>
      </c>
      <c r="E37" t="s">
        <v>178</v>
      </c>
      <c r="F37" t="s">
        <v>181</v>
      </c>
      <c r="G37">
        <v>4</v>
      </c>
      <c r="H37">
        <v>2991</v>
      </c>
      <c r="I37">
        <v>5</v>
      </c>
      <c r="J37" t="s">
        <v>184</v>
      </c>
      <c r="K37">
        <v>11365.8</v>
      </c>
      <c r="L37">
        <v>7952.66</v>
      </c>
      <c r="M37">
        <v>3413.14</v>
      </c>
      <c r="N37" t="str">
        <f t="shared" si="0"/>
        <v>Mar</v>
      </c>
      <c r="O37">
        <f t="shared" si="1"/>
        <v>3</v>
      </c>
      <c r="P37" s="2">
        <f t="shared" si="2"/>
        <v>0.30029914304316457</v>
      </c>
    </row>
    <row r="38" spans="1:16" x14ac:dyDescent="0.25">
      <c r="A38" t="s">
        <v>49</v>
      </c>
      <c r="B38" s="4">
        <v>46105.025316455693</v>
      </c>
      <c r="C38" t="s">
        <v>128</v>
      </c>
      <c r="D38" t="s">
        <v>173</v>
      </c>
      <c r="E38" t="s">
        <v>178</v>
      </c>
      <c r="F38" t="s">
        <v>180</v>
      </c>
      <c r="G38">
        <v>4</v>
      </c>
      <c r="H38">
        <v>2048</v>
      </c>
      <c r="I38">
        <v>10</v>
      </c>
      <c r="J38" t="s">
        <v>184</v>
      </c>
      <c r="K38">
        <v>7372.8</v>
      </c>
      <c r="L38">
        <v>5479.24</v>
      </c>
      <c r="M38">
        <v>1893.56</v>
      </c>
      <c r="N38" t="str">
        <f t="shared" si="0"/>
        <v>Mar</v>
      </c>
      <c r="O38">
        <f t="shared" si="1"/>
        <v>3</v>
      </c>
      <c r="P38" s="2">
        <f t="shared" si="2"/>
        <v>0.25683051215277775</v>
      </c>
    </row>
    <row r="39" spans="1:16" x14ac:dyDescent="0.25">
      <c r="A39" t="s">
        <v>50</v>
      </c>
      <c r="B39" s="4">
        <v>46107.303797468347</v>
      </c>
      <c r="C39" t="s">
        <v>129</v>
      </c>
      <c r="D39" t="s">
        <v>172</v>
      </c>
      <c r="E39" t="s">
        <v>178</v>
      </c>
      <c r="F39" t="s">
        <v>180</v>
      </c>
      <c r="G39">
        <v>1</v>
      </c>
      <c r="H39">
        <v>3311</v>
      </c>
      <c r="I39">
        <v>5</v>
      </c>
      <c r="J39" t="s">
        <v>184</v>
      </c>
      <c r="K39">
        <v>3145.45</v>
      </c>
      <c r="L39">
        <v>2349.71</v>
      </c>
      <c r="M39">
        <v>795.74</v>
      </c>
      <c r="N39" t="str">
        <f t="shared" si="0"/>
        <v>Mar</v>
      </c>
      <c r="O39">
        <f t="shared" si="1"/>
        <v>3</v>
      </c>
      <c r="P39" s="2">
        <f t="shared" si="2"/>
        <v>0.2529812904353908</v>
      </c>
    </row>
    <row r="40" spans="1:16" x14ac:dyDescent="0.25">
      <c r="A40" t="s">
        <v>51</v>
      </c>
      <c r="B40" s="4">
        <v>46109.582278481008</v>
      </c>
      <c r="C40" t="s">
        <v>130</v>
      </c>
      <c r="D40" t="s">
        <v>175</v>
      </c>
      <c r="E40" t="s">
        <v>177</v>
      </c>
      <c r="F40" t="s">
        <v>182</v>
      </c>
      <c r="G40">
        <v>1</v>
      </c>
      <c r="H40">
        <v>54816</v>
      </c>
      <c r="I40">
        <v>0</v>
      </c>
      <c r="J40" t="s">
        <v>183</v>
      </c>
      <c r="K40">
        <v>54816</v>
      </c>
      <c r="L40">
        <v>34482.6</v>
      </c>
      <c r="M40">
        <v>20333.400000000001</v>
      </c>
      <c r="N40" t="str">
        <f t="shared" si="0"/>
        <v>Mar</v>
      </c>
      <c r="O40">
        <f t="shared" si="1"/>
        <v>3</v>
      </c>
      <c r="P40" s="2">
        <f t="shared" si="2"/>
        <v>0.37093914185639232</v>
      </c>
    </row>
    <row r="41" spans="1:16" x14ac:dyDescent="0.25">
      <c r="A41" t="s">
        <v>52</v>
      </c>
      <c r="B41" s="4">
        <v>46111.860759493669</v>
      </c>
      <c r="C41" t="s">
        <v>131</v>
      </c>
      <c r="D41" t="s">
        <v>174</v>
      </c>
      <c r="E41" t="s">
        <v>178</v>
      </c>
      <c r="F41" t="s">
        <v>181</v>
      </c>
      <c r="G41">
        <v>2</v>
      </c>
      <c r="H41">
        <v>1171</v>
      </c>
      <c r="I41">
        <v>5</v>
      </c>
      <c r="J41" t="s">
        <v>186</v>
      </c>
      <c r="K41">
        <v>2224.9</v>
      </c>
      <c r="L41">
        <v>1546.13</v>
      </c>
      <c r="M41">
        <v>678.77</v>
      </c>
      <c r="N41" t="str">
        <f t="shared" si="0"/>
        <v>Mar</v>
      </c>
      <c r="O41">
        <f t="shared" si="1"/>
        <v>3</v>
      </c>
      <c r="P41" s="2">
        <f t="shared" si="2"/>
        <v>0.30507887994966065</v>
      </c>
    </row>
    <row r="42" spans="1:16" x14ac:dyDescent="0.25">
      <c r="A42" t="s">
        <v>53</v>
      </c>
      <c r="B42" s="4">
        <v>46114.139240506323</v>
      </c>
      <c r="C42" t="s">
        <v>132</v>
      </c>
      <c r="D42" t="s">
        <v>171</v>
      </c>
      <c r="E42" t="s">
        <v>177</v>
      </c>
      <c r="F42" t="s">
        <v>179</v>
      </c>
      <c r="G42">
        <v>1</v>
      </c>
      <c r="H42">
        <v>14019</v>
      </c>
      <c r="I42">
        <v>5</v>
      </c>
      <c r="J42" t="s">
        <v>184</v>
      </c>
      <c r="K42">
        <v>13318.05</v>
      </c>
      <c r="L42">
        <v>9924.24</v>
      </c>
      <c r="M42">
        <v>3393.81</v>
      </c>
      <c r="N42" t="str">
        <f t="shared" si="0"/>
        <v>Apr</v>
      </c>
      <c r="O42">
        <f t="shared" si="1"/>
        <v>4</v>
      </c>
      <c r="P42" s="2">
        <f t="shared" si="2"/>
        <v>0.25482784641895773</v>
      </c>
    </row>
    <row r="43" spans="1:16" x14ac:dyDescent="0.25">
      <c r="A43" t="s">
        <v>54</v>
      </c>
      <c r="B43" s="4">
        <v>46116.417721518977</v>
      </c>
      <c r="C43" t="s">
        <v>133</v>
      </c>
      <c r="D43" t="s">
        <v>175</v>
      </c>
      <c r="E43" t="s">
        <v>177</v>
      </c>
      <c r="F43" t="s">
        <v>180</v>
      </c>
      <c r="G43">
        <v>3</v>
      </c>
      <c r="H43">
        <v>54957</v>
      </c>
      <c r="I43">
        <v>5</v>
      </c>
      <c r="J43" t="s">
        <v>185</v>
      </c>
      <c r="K43">
        <v>156627.45000000001</v>
      </c>
      <c r="L43">
        <v>112870.01</v>
      </c>
      <c r="M43">
        <v>43757.440000000002</v>
      </c>
      <c r="N43" t="str">
        <f t="shared" si="0"/>
        <v>Apr</v>
      </c>
      <c r="O43">
        <f t="shared" si="1"/>
        <v>4</v>
      </c>
      <c r="P43" s="2">
        <f t="shared" si="2"/>
        <v>0.27937274085736569</v>
      </c>
    </row>
    <row r="44" spans="1:16" x14ac:dyDescent="0.25">
      <c r="A44" t="s">
        <v>55</v>
      </c>
      <c r="B44" s="4">
        <v>46118.696202531653</v>
      </c>
      <c r="C44" t="s">
        <v>134</v>
      </c>
      <c r="D44" t="s">
        <v>171</v>
      </c>
      <c r="E44" t="s">
        <v>177</v>
      </c>
      <c r="F44" t="s">
        <v>181</v>
      </c>
      <c r="G44">
        <v>4</v>
      </c>
      <c r="H44">
        <v>14276</v>
      </c>
      <c r="I44">
        <v>5</v>
      </c>
      <c r="J44" t="s">
        <v>184</v>
      </c>
      <c r="K44">
        <v>54248.800000000003</v>
      </c>
      <c r="L44">
        <v>42926.97</v>
      </c>
      <c r="M44">
        <v>11321.83</v>
      </c>
      <c r="N44" t="str">
        <f t="shared" si="0"/>
        <v>Apr</v>
      </c>
      <c r="O44">
        <f t="shared" si="1"/>
        <v>4</v>
      </c>
      <c r="P44" s="2">
        <f t="shared" si="2"/>
        <v>0.20870194363746294</v>
      </c>
    </row>
    <row r="45" spans="1:16" x14ac:dyDescent="0.25">
      <c r="A45" t="s">
        <v>56</v>
      </c>
      <c r="B45" s="4">
        <v>46120.974683544293</v>
      </c>
      <c r="C45" t="s">
        <v>135</v>
      </c>
      <c r="D45" t="s">
        <v>174</v>
      </c>
      <c r="E45" t="s">
        <v>178</v>
      </c>
      <c r="F45" t="s">
        <v>181</v>
      </c>
      <c r="G45">
        <v>1</v>
      </c>
      <c r="H45">
        <v>1045</v>
      </c>
      <c r="I45">
        <v>0</v>
      </c>
      <c r="J45" t="s">
        <v>184</v>
      </c>
      <c r="K45">
        <v>1045</v>
      </c>
      <c r="L45">
        <v>785.57</v>
      </c>
      <c r="M45">
        <v>259.43</v>
      </c>
      <c r="N45" t="str">
        <f t="shared" si="0"/>
        <v>Apr</v>
      </c>
      <c r="O45">
        <f t="shared" si="1"/>
        <v>4</v>
      </c>
      <c r="P45" s="2">
        <f t="shared" si="2"/>
        <v>0.24825837320574162</v>
      </c>
    </row>
    <row r="46" spans="1:16" x14ac:dyDescent="0.25">
      <c r="A46" t="s">
        <v>57</v>
      </c>
      <c r="B46" s="4">
        <v>46123.253164556947</v>
      </c>
      <c r="C46" t="s">
        <v>136</v>
      </c>
      <c r="D46" t="s">
        <v>174</v>
      </c>
      <c r="E46" t="s">
        <v>178</v>
      </c>
      <c r="F46" t="s">
        <v>190</v>
      </c>
      <c r="G46">
        <v>1</v>
      </c>
      <c r="H46">
        <v>1372</v>
      </c>
      <c r="I46">
        <v>15</v>
      </c>
      <c r="J46" t="s">
        <v>183</v>
      </c>
      <c r="K46">
        <v>1166.2</v>
      </c>
      <c r="L46">
        <v>761.05</v>
      </c>
      <c r="M46">
        <v>405.15</v>
      </c>
      <c r="N46" t="str">
        <f t="shared" si="0"/>
        <v>Apr</v>
      </c>
      <c r="O46">
        <f t="shared" si="1"/>
        <v>4</v>
      </c>
      <c r="P46" s="2">
        <f t="shared" si="2"/>
        <v>0.34741039272851992</v>
      </c>
    </row>
    <row r="47" spans="1:16" x14ac:dyDescent="0.25">
      <c r="A47" t="s">
        <v>58</v>
      </c>
      <c r="B47" s="4">
        <v>46125.531645569623</v>
      </c>
      <c r="C47" t="s">
        <v>137</v>
      </c>
      <c r="D47" t="s">
        <v>175</v>
      </c>
      <c r="E47" t="s">
        <v>177</v>
      </c>
      <c r="F47" t="s">
        <v>180</v>
      </c>
      <c r="G47">
        <v>2</v>
      </c>
      <c r="H47">
        <v>55317</v>
      </c>
      <c r="I47">
        <v>5</v>
      </c>
      <c r="J47" t="s">
        <v>183</v>
      </c>
      <c r="K47">
        <v>105102.3</v>
      </c>
      <c r="L47">
        <v>66646.81</v>
      </c>
      <c r="M47">
        <v>38455.49</v>
      </c>
      <c r="N47" t="str">
        <f t="shared" si="0"/>
        <v>Apr</v>
      </c>
      <c r="O47">
        <f t="shared" si="1"/>
        <v>4</v>
      </c>
      <c r="P47" s="2">
        <f t="shared" si="2"/>
        <v>0.36588628412508573</v>
      </c>
    </row>
    <row r="48" spans="1:16" x14ac:dyDescent="0.25">
      <c r="A48" t="s">
        <v>59</v>
      </c>
      <c r="B48" s="4">
        <v>46127.81012658227</v>
      </c>
      <c r="C48" t="s">
        <v>138</v>
      </c>
      <c r="D48" t="s">
        <v>174</v>
      </c>
      <c r="E48" t="s">
        <v>178</v>
      </c>
      <c r="F48" t="s">
        <v>180</v>
      </c>
      <c r="G48">
        <v>2</v>
      </c>
      <c r="H48">
        <v>1098</v>
      </c>
      <c r="I48">
        <v>5</v>
      </c>
      <c r="J48" t="s">
        <v>186</v>
      </c>
      <c r="K48">
        <v>2086.1999999999998</v>
      </c>
      <c r="L48">
        <v>1561.49</v>
      </c>
      <c r="M48">
        <v>524.71</v>
      </c>
      <c r="N48" t="str">
        <f t="shared" si="0"/>
        <v>Apr</v>
      </c>
      <c r="O48">
        <f t="shared" si="1"/>
        <v>4</v>
      </c>
      <c r="P48" s="2">
        <f t="shared" si="2"/>
        <v>0.25151471575112649</v>
      </c>
    </row>
    <row r="49" spans="1:16" x14ac:dyDescent="0.25">
      <c r="A49" t="s">
        <v>60</v>
      </c>
      <c r="B49" s="4">
        <v>46130.088607594931</v>
      </c>
      <c r="C49" t="s">
        <v>139</v>
      </c>
      <c r="D49" t="s">
        <v>172</v>
      </c>
      <c r="E49" t="s">
        <v>178</v>
      </c>
      <c r="F49" t="s">
        <v>179</v>
      </c>
      <c r="G49">
        <v>3</v>
      </c>
      <c r="H49">
        <v>2836</v>
      </c>
      <c r="I49">
        <v>10</v>
      </c>
      <c r="J49" t="s">
        <v>185</v>
      </c>
      <c r="K49">
        <v>7657.2</v>
      </c>
      <c r="L49">
        <v>4788.0600000000004</v>
      </c>
      <c r="M49">
        <v>2869.14</v>
      </c>
      <c r="N49" t="str">
        <f t="shared" si="0"/>
        <v>Apr</v>
      </c>
      <c r="O49">
        <f t="shared" si="1"/>
        <v>4</v>
      </c>
      <c r="P49" s="2">
        <f t="shared" si="2"/>
        <v>0.3746983231468422</v>
      </c>
    </row>
    <row r="50" spans="1:16" x14ac:dyDescent="0.25">
      <c r="A50" t="s">
        <v>61</v>
      </c>
      <c r="B50" s="4">
        <v>46132.367088607592</v>
      </c>
      <c r="C50" t="s">
        <v>140</v>
      </c>
      <c r="D50" t="s">
        <v>174</v>
      </c>
      <c r="E50" t="s">
        <v>178</v>
      </c>
      <c r="F50" t="s">
        <v>180</v>
      </c>
      <c r="G50">
        <v>4</v>
      </c>
      <c r="H50">
        <v>1279</v>
      </c>
      <c r="I50">
        <v>5</v>
      </c>
      <c r="J50" t="s">
        <v>183</v>
      </c>
      <c r="K50">
        <v>4860.2</v>
      </c>
      <c r="L50">
        <v>3582.72</v>
      </c>
      <c r="M50">
        <v>1277.48</v>
      </c>
      <c r="N50" t="str">
        <f t="shared" si="0"/>
        <v>Apr</v>
      </c>
      <c r="O50">
        <f t="shared" si="1"/>
        <v>4</v>
      </c>
      <c r="P50" s="2">
        <f t="shared" si="2"/>
        <v>0.26284515040533313</v>
      </c>
    </row>
    <row r="51" spans="1:16" x14ac:dyDescent="0.25">
      <c r="A51" t="s">
        <v>62</v>
      </c>
      <c r="B51" s="4">
        <v>46134.645569620247</v>
      </c>
      <c r="C51" t="s">
        <v>141</v>
      </c>
      <c r="D51" t="s">
        <v>171</v>
      </c>
      <c r="E51" t="s">
        <v>177</v>
      </c>
      <c r="F51" t="s">
        <v>179</v>
      </c>
      <c r="G51">
        <v>2</v>
      </c>
      <c r="H51">
        <v>14148</v>
      </c>
      <c r="I51">
        <v>10</v>
      </c>
      <c r="J51" t="s">
        <v>184</v>
      </c>
      <c r="K51">
        <v>25466.400000000001</v>
      </c>
      <c r="L51">
        <v>20578.02</v>
      </c>
      <c r="M51">
        <v>4888.38</v>
      </c>
      <c r="N51" t="str">
        <f t="shared" si="0"/>
        <v>Apr</v>
      </c>
      <c r="O51">
        <f t="shared" si="1"/>
        <v>4</v>
      </c>
      <c r="P51" s="2">
        <f t="shared" si="2"/>
        <v>0.19195410423145792</v>
      </c>
    </row>
    <row r="52" spans="1:16" x14ac:dyDescent="0.25">
      <c r="A52" t="s">
        <v>63</v>
      </c>
      <c r="B52" s="4">
        <v>46136.924050632908</v>
      </c>
      <c r="C52" t="s">
        <v>142</v>
      </c>
      <c r="D52" t="s">
        <v>171</v>
      </c>
      <c r="E52" t="s">
        <v>177</v>
      </c>
      <c r="F52" t="s">
        <v>180</v>
      </c>
      <c r="G52">
        <v>1</v>
      </c>
      <c r="H52">
        <v>14296</v>
      </c>
      <c r="I52">
        <v>15</v>
      </c>
      <c r="J52" t="s">
        <v>186</v>
      </c>
      <c r="K52">
        <v>12151.6</v>
      </c>
      <c r="L52">
        <v>8932.58</v>
      </c>
      <c r="M52">
        <v>3219.02</v>
      </c>
      <c r="N52" t="str">
        <f t="shared" si="0"/>
        <v>Apr</v>
      </c>
      <c r="O52">
        <f t="shared" si="1"/>
        <v>4</v>
      </c>
      <c r="P52" s="2">
        <f t="shared" si="2"/>
        <v>0.26490503308206326</v>
      </c>
    </row>
    <row r="53" spans="1:16" x14ac:dyDescent="0.25">
      <c r="A53" t="s">
        <v>64</v>
      </c>
      <c r="B53" s="4">
        <v>46139.202531645569</v>
      </c>
      <c r="C53" t="s">
        <v>143</v>
      </c>
      <c r="D53" t="s">
        <v>171</v>
      </c>
      <c r="E53" t="s">
        <v>177</v>
      </c>
      <c r="F53" t="s">
        <v>182</v>
      </c>
      <c r="G53">
        <v>4</v>
      </c>
      <c r="H53">
        <v>14101</v>
      </c>
      <c r="I53">
        <v>0</v>
      </c>
      <c r="J53" t="s">
        <v>184</v>
      </c>
      <c r="K53">
        <v>56404</v>
      </c>
      <c r="L53">
        <v>39349.35</v>
      </c>
      <c r="M53">
        <v>17054.650000000001</v>
      </c>
      <c r="N53" t="str">
        <f t="shared" si="0"/>
        <v>Apr</v>
      </c>
      <c r="O53">
        <f t="shared" si="1"/>
        <v>4</v>
      </c>
      <c r="P53" s="2">
        <f t="shared" si="2"/>
        <v>0.30236596695269841</v>
      </c>
    </row>
    <row r="54" spans="1:16" x14ac:dyDescent="0.25">
      <c r="A54" t="s">
        <v>65</v>
      </c>
      <c r="B54" s="4">
        <v>46141.481012658223</v>
      </c>
      <c r="C54" t="s">
        <v>144</v>
      </c>
      <c r="D54" t="s">
        <v>171</v>
      </c>
      <c r="E54" t="s">
        <v>177</v>
      </c>
      <c r="F54" t="s">
        <v>180</v>
      </c>
      <c r="G54">
        <v>4</v>
      </c>
      <c r="H54">
        <v>13980</v>
      </c>
      <c r="I54">
        <v>0</v>
      </c>
      <c r="J54" t="s">
        <v>184</v>
      </c>
      <c r="K54">
        <v>55920</v>
      </c>
      <c r="L54">
        <v>41864.94</v>
      </c>
      <c r="M54">
        <v>14055.06</v>
      </c>
      <c r="N54" t="str">
        <f t="shared" si="0"/>
        <v>Apr</v>
      </c>
      <c r="O54">
        <f t="shared" si="1"/>
        <v>4</v>
      </c>
      <c r="P54" s="2">
        <f t="shared" si="2"/>
        <v>0.2513422746781116</v>
      </c>
    </row>
    <row r="55" spans="1:16" x14ac:dyDescent="0.25">
      <c r="A55" t="s">
        <v>66</v>
      </c>
      <c r="B55" s="4">
        <v>46143.759493670877</v>
      </c>
      <c r="C55" t="s">
        <v>145</v>
      </c>
      <c r="D55" t="s">
        <v>172</v>
      </c>
      <c r="E55" t="s">
        <v>178</v>
      </c>
      <c r="F55" t="s">
        <v>179</v>
      </c>
      <c r="G55">
        <v>1</v>
      </c>
      <c r="H55">
        <v>3406</v>
      </c>
      <c r="I55">
        <v>15</v>
      </c>
      <c r="J55" t="s">
        <v>183</v>
      </c>
      <c r="K55">
        <v>2895.1</v>
      </c>
      <c r="L55">
        <v>2060.3000000000002</v>
      </c>
      <c r="M55">
        <v>834.8</v>
      </c>
      <c r="N55" t="str">
        <f t="shared" si="0"/>
        <v>May</v>
      </c>
      <c r="O55">
        <f t="shared" si="1"/>
        <v>5</v>
      </c>
      <c r="P55" s="2">
        <f t="shared" si="2"/>
        <v>0.28834927981762287</v>
      </c>
    </row>
    <row r="56" spans="1:16" x14ac:dyDescent="0.25">
      <c r="A56" t="s">
        <v>67</v>
      </c>
      <c r="B56" s="4">
        <v>46146.037974683539</v>
      </c>
      <c r="C56" t="s">
        <v>146</v>
      </c>
      <c r="D56" t="s">
        <v>173</v>
      </c>
      <c r="E56" t="s">
        <v>178</v>
      </c>
      <c r="F56" t="s">
        <v>179</v>
      </c>
      <c r="G56">
        <v>2</v>
      </c>
      <c r="H56">
        <v>2098</v>
      </c>
      <c r="I56">
        <v>0</v>
      </c>
      <c r="J56" t="s">
        <v>186</v>
      </c>
      <c r="K56">
        <v>4196</v>
      </c>
      <c r="L56">
        <v>3059.4</v>
      </c>
      <c r="M56">
        <v>1136.5999999999999</v>
      </c>
      <c r="N56" t="str">
        <f t="shared" si="0"/>
        <v>May</v>
      </c>
      <c r="O56">
        <f t="shared" si="1"/>
        <v>5</v>
      </c>
      <c r="P56" s="2">
        <f t="shared" si="2"/>
        <v>0.27087702573879885</v>
      </c>
    </row>
    <row r="57" spans="1:16" x14ac:dyDescent="0.25">
      <c r="A57" t="s">
        <v>68</v>
      </c>
      <c r="B57" s="4">
        <v>46148.316455696193</v>
      </c>
      <c r="C57" t="s">
        <v>147</v>
      </c>
      <c r="D57" t="s">
        <v>175</v>
      </c>
      <c r="E57" t="s">
        <v>177</v>
      </c>
      <c r="F57" t="s">
        <v>182</v>
      </c>
      <c r="G57">
        <v>1</v>
      </c>
      <c r="H57">
        <v>55499</v>
      </c>
      <c r="I57">
        <v>15</v>
      </c>
      <c r="J57" t="s">
        <v>187</v>
      </c>
      <c r="K57">
        <v>47174.15</v>
      </c>
      <c r="L57">
        <v>38130.53</v>
      </c>
      <c r="M57">
        <v>9043.6200000000008</v>
      </c>
      <c r="N57" t="str">
        <f t="shared" si="0"/>
        <v>May</v>
      </c>
      <c r="O57">
        <f t="shared" si="1"/>
        <v>5</v>
      </c>
      <c r="P57" s="2">
        <f t="shared" si="2"/>
        <v>0.19170711077995048</v>
      </c>
    </row>
    <row r="58" spans="1:16" x14ac:dyDescent="0.25">
      <c r="A58" t="s">
        <v>69</v>
      </c>
      <c r="B58" s="4">
        <v>46150.594936708847</v>
      </c>
      <c r="C58" t="s">
        <v>148</v>
      </c>
      <c r="D58" t="s">
        <v>171</v>
      </c>
      <c r="E58" t="s">
        <v>177</v>
      </c>
      <c r="F58" t="s">
        <v>180</v>
      </c>
      <c r="G58">
        <v>4</v>
      </c>
      <c r="H58">
        <v>13915</v>
      </c>
      <c r="I58">
        <v>15</v>
      </c>
      <c r="J58" t="s">
        <v>185</v>
      </c>
      <c r="K58">
        <v>47311</v>
      </c>
      <c r="L58">
        <v>32986.199999999997</v>
      </c>
      <c r="M58">
        <v>14324.8</v>
      </c>
      <c r="N58" t="str">
        <f t="shared" si="0"/>
        <v>May</v>
      </c>
      <c r="O58">
        <f t="shared" si="1"/>
        <v>5</v>
      </c>
      <c r="P58" s="2">
        <f t="shared" si="2"/>
        <v>0.30277948045908981</v>
      </c>
    </row>
    <row r="59" spans="1:16" x14ac:dyDescent="0.25">
      <c r="A59" t="s">
        <v>70</v>
      </c>
      <c r="B59" s="4">
        <v>46152.873417721523</v>
      </c>
      <c r="C59" t="s">
        <v>149</v>
      </c>
      <c r="D59" t="s">
        <v>174</v>
      </c>
      <c r="E59" t="s">
        <v>178</v>
      </c>
      <c r="F59" t="s">
        <v>180</v>
      </c>
      <c r="G59">
        <v>5</v>
      </c>
      <c r="H59">
        <v>1190</v>
      </c>
      <c r="I59">
        <v>15</v>
      </c>
      <c r="J59" t="s">
        <v>183</v>
      </c>
      <c r="K59">
        <v>5057.5</v>
      </c>
      <c r="L59">
        <v>4107.8900000000003</v>
      </c>
      <c r="M59">
        <v>949.61</v>
      </c>
      <c r="N59" t="str">
        <f t="shared" si="0"/>
        <v>May</v>
      </c>
      <c r="O59">
        <f t="shared" si="1"/>
        <v>5</v>
      </c>
      <c r="P59" s="2">
        <f t="shared" si="2"/>
        <v>0.1877627286208601</v>
      </c>
    </row>
    <row r="60" spans="1:16" x14ac:dyDescent="0.25">
      <c r="A60" t="s">
        <v>71</v>
      </c>
      <c r="B60" s="4">
        <v>46155.15189873417</v>
      </c>
      <c r="C60" t="s">
        <v>150</v>
      </c>
      <c r="D60" t="s">
        <v>171</v>
      </c>
      <c r="E60" t="s">
        <v>177</v>
      </c>
      <c r="F60" t="s">
        <v>182</v>
      </c>
      <c r="G60">
        <v>5</v>
      </c>
      <c r="H60">
        <v>14052</v>
      </c>
      <c r="I60">
        <v>0</v>
      </c>
      <c r="J60" t="s">
        <v>183</v>
      </c>
      <c r="K60">
        <v>70260</v>
      </c>
      <c r="L60">
        <v>56283.19</v>
      </c>
      <c r="M60">
        <v>13976.81</v>
      </c>
      <c r="N60" t="str">
        <f t="shared" si="0"/>
        <v>May</v>
      </c>
      <c r="O60">
        <f t="shared" si="1"/>
        <v>5</v>
      </c>
      <c r="P60" s="2">
        <f t="shared" si="2"/>
        <v>0.19892983205237688</v>
      </c>
    </row>
    <row r="61" spans="1:16" x14ac:dyDescent="0.25">
      <c r="A61" t="s">
        <v>72</v>
      </c>
      <c r="B61" s="4">
        <v>46157.430379746831</v>
      </c>
      <c r="C61" t="s">
        <v>151</v>
      </c>
      <c r="D61" t="s">
        <v>174</v>
      </c>
      <c r="E61" t="s">
        <v>178</v>
      </c>
      <c r="F61" t="s">
        <v>180</v>
      </c>
      <c r="G61">
        <v>3</v>
      </c>
      <c r="H61">
        <v>1160</v>
      </c>
      <c r="I61">
        <v>10</v>
      </c>
      <c r="J61" t="s">
        <v>186</v>
      </c>
      <c r="K61">
        <v>3132</v>
      </c>
      <c r="L61">
        <v>2064.48</v>
      </c>
      <c r="M61">
        <v>1067.52</v>
      </c>
      <c r="N61" t="str">
        <f t="shared" si="0"/>
        <v>May</v>
      </c>
      <c r="O61">
        <f t="shared" si="1"/>
        <v>5</v>
      </c>
      <c r="P61" s="2">
        <f t="shared" si="2"/>
        <v>0.34084291187739463</v>
      </c>
    </row>
    <row r="62" spans="1:16" x14ac:dyDescent="0.25">
      <c r="A62" t="s">
        <v>73</v>
      </c>
      <c r="B62" s="4">
        <v>46159.708860759492</v>
      </c>
      <c r="C62" t="s">
        <v>152</v>
      </c>
      <c r="D62" t="s">
        <v>174</v>
      </c>
      <c r="E62" t="s">
        <v>178</v>
      </c>
      <c r="F62" t="s">
        <v>180</v>
      </c>
      <c r="G62">
        <v>1</v>
      </c>
      <c r="H62">
        <v>1255</v>
      </c>
      <c r="I62">
        <v>15</v>
      </c>
      <c r="J62" t="s">
        <v>185</v>
      </c>
      <c r="K62">
        <v>1066.75</v>
      </c>
      <c r="L62">
        <v>676.18</v>
      </c>
      <c r="M62">
        <v>390.57</v>
      </c>
      <c r="N62" t="str">
        <f t="shared" si="0"/>
        <v>May</v>
      </c>
      <c r="O62">
        <f t="shared" si="1"/>
        <v>5</v>
      </c>
      <c r="P62" s="2">
        <f t="shared" si="2"/>
        <v>0.36613077103351299</v>
      </c>
    </row>
    <row r="63" spans="1:16" x14ac:dyDescent="0.25">
      <c r="A63" t="s">
        <v>74</v>
      </c>
      <c r="B63" s="4">
        <v>46161.987341772139</v>
      </c>
      <c r="C63" t="s">
        <v>153</v>
      </c>
      <c r="D63" t="s">
        <v>171</v>
      </c>
      <c r="E63" t="s">
        <v>177</v>
      </c>
      <c r="F63" t="s">
        <v>179</v>
      </c>
      <c r="G63">
        <v>1</v>
      </c>
      <c r="H63">
        <v>14122</v>
      </c>
      <c r="I63">
        <v>5</v>
      </c>
      <c r="J63" t="s">
        <v>185</v>
      </c>
      <c r="K63">
        <v>13415.9</v>
      </c>
      <c r="L63">
        <v>8588.26</v>
      </c>
      <c r="M63">
        <v>4827.6400000000003</v>
      </c>
      <c r="N63" t="str">
        <f t="shared" si="0"/>
        <v>May</v>
      </c>
      <c r="O63">
        <f t="shared" si="1"/>
        <v>5</v>
      </c>
      <c r="P63" s="2">
        <f t="shared" si="2"/>
        <v>0.35984466193099235</v>
      </c>
    </row>
    <row r="64" spans="1:16" x14ac:dyDescent="0.25">
      <c r="A64" t="s">
        <v>75</v>
      </c>
      <c r="B64" s="4">
        <v>46164.265822784801</v>
      </c>
      <c r="C64" t="s">
        <v>154</v>
      </c>
      <c r="D64" t="s">
        <v>172</v>
      </c>
      <c r="E64" t="s">
        <v>178</v>
      </c>
      <c r="F64" t="s">
        <v>180</v>
      </c>
      <c r="G64">
        <v>3</v>
      </c>
      <c r="H64">
        <v>2927</v>
      </c>
      <c r="I64">
        <v>0</v>
      </c>
      <c r="J64" t="s">
        <v>185</v>
      </c>
      <c r="K64">
        <v>8781</v>
      </c>
      <c r="L64">
        <v>5476.22</v>
      </c>
      <c r="M64">
        <v>3304.78</v>
      </c>
      <c r="N64" t="str">
        <f t="shared" si="0"/>
        <v>May</v>
      </c>
      <c r="O64">
        <f t="shared" si="1"/>
        <v>5</v>
      </c>
      <c r="P64" s="2">
        <f t="shared" si="2"/>
        <v>0.37635576813574767</v>
      </c>
    </row>
    <row r="65" spans="1:16" x14ac:dyDescent="0.25">
      <c r="A65" t="s">
        <v>76</v>
      </c>
      <c r="B65" s="4">
        <v>46166.544303797462</v>
      </c>
      <c r="C65" t="s">
        <v>155</v>
      </c>
      <c r="D65" t="s">
        <v>174</v>
      </c>
      <c r="E65" t="s">
        <v>178</v>
      </c>
      <c r="F65" t="s">
        <v>180</v>
      </c>
      <c r="G65">
        <v>3</v>
      </c>
      <c r="H65">
        <v>1017</v>
      </c>
      <c r="I65">
        <v>15</v>
      </c>
      <c r="J65" t="s">
        <v>184</v>
      </c>
      <c r="K65">
        <v>2593.35</v>
      </c>
      <c r="L65">
        <v>1656.86</v>
      </c>
      <c r="M65">
        <v>936.49</v>
      </c>
      <c r="N65" t="str">
        <f t="shared" si="0"/>
        <v>May</v>
      </c>
      <c r="O65">
        <f t="shared" si="1"/>
        <v>5</v>
      </c>
      <c r="P65" s="2">
        <f t="shared" si="2"/>
        <v>0.36111207511519849</v>
      </c>
    </row>
    <row r="66" spans="1:16" x14ac:dyDescent="0.25">
      <c r="A66" t="s">
        <v>77</v>
      </c>
      <c r="B66" s="4">
        <v>46168.822784810123</v>
      </c>
      <c r="C66" t="s">
        <v>156</v>
      </c>
      <c r="D66" t="s">
        <v>174</v>
      </c>
      <c r="E66" t="s">
        <v>178</v>
      </c>
      <c r="F66" t="s">
        <v>182</v>
      </c>
      <c r="G66">
        <v>3</v>
      </c>
      <c r="H66">
        <v>1565</v>
      </c>
      <c r="I66">
        <v>15</v>
      </c>
      <c r="J66" t="s">
        <v>185</v>
      </c>
      <c r="K66">
        <v>3990.75</v>
      </c>
      <c r="L66">
        <v>3019.41</v>
      </c>
      <c r="M66">
        <v>971.34</v>
      </c>
      <c r="N66" t="str">
        <f t="shared" si="0"/>
        <v>May</v>
      </c>
      <c r="O66">
        <f t="shared" si="1"/>
        <v>5</v>
      </c>
      <c r="P66" s="2">
        <f t="shared" si="2"/>
        <v>0.24339785754557414</v>
      </c>
    </row>
    <row r="67" spans="1:16" x14ac:dyDescent="0.25">
      <c r="A67" t="s">
        <v>78</v>
      </c>
      <c r="B67" s="4">
        <v>46171.101265822777</v>
      </c>
      <c r="C67" t="s">
        <v>157</v>
      </c>
      <c r="D67" t="s">
        <v>171</v>
      </c>
      <c r="E67" t="s">
        <v>177</v>
      </c>
      <c r="F67" t="s">
        <v>182</v>
      </c>
      <c r="G67">
        <v>4</v>
      </c>
      <c r="H67">
        <v>14369</v>
      </c>
      <c r="I67">
        <v>5</v>
      </c>
      <c r="J67" t="s">
        <v>184</v>
      </c>
      <c r="K67">
        <v>54602.2</v>
      </c>
      <c r="L67">
        <v>34630.78</v>
      </c>
      <c r="M67">
        <v>19971.419999999998</v>
      </c>
      <c r="N67" t="str">
        <f t="shared" ref="N67:N81" si="3">TEXT(B67,"mmm")</f>
        <v>May</v>
      </c>
      <c r="O67">
        <f t="shared" ref="O67:O81" si="4">MONTH(B67)</f>
        <v>5</v>
      </c>
      <c r="P67" s="2">
        <f t="shared" ref="P67:P81" si="5">M67/K67</f>
        <v>0.36576218540644884</v>
      </c>
    </row>
    <row r="68" spans="1:16" x14ac:dyDescent="0.25">
      <c r="A68" t="s">
        <v>79</v>
      </c>
      <c r="B68" s="4">
        <v>46173.379746835439</v>
      </c>
      <c r="C68" t="s">
        <v>158</v>
      </c>
      <c r="D68" t="s">
        <v>174</v>
      </c>
      <c r="E68" t="s">
        <v>178</v>
      </c>
      <c r="F68" t="s">
        <v>181</v>
      </c>
      <c r="G68">
        <v>1</v>
      </c>
      <c r="H68">
        <f>K68/(G68*(1-I68/100))</f>
        <v>1322</v>
      </c>
      <c r="I68">
        <v>10</v>
      </c>
      <c r="J68" t="s">
        <v>186</v>
      </c>
      <c r="K68">
        <v>1189.8</v>
      </c>
      <c r="L68">
        <v>813.58</v>
      </c>
      <c r="M68">
        <v>376.22</v>
      </c>
      <c r="N68" t="str">
        <f t="shared" si="3"/>
        <v>May</v>
      </c>
      <c r="O68">
        <f t="shared" si="4"/>
        <v>5</v>
      </c>
      <c r="P68" s="2">
        <f t="shared" si="5"/>
        <v>0.31620440410152972</v>
      </c>
    </row>
    <row r="69" spans="1:16" x14ac:dyDescent="0.25">
      <c r="A69" t="s">
        <v>80</v>
      </c>
      <c r="B69" s="4">
        <v>46175.658227848093</v>
      </c>
      <c r="C69" t="s">
        <v>159</v>
      </c>
      <c r="D69" t="s">
        <v>174</v>
      </c>
      <c r="E69" t="s">
        <v>178</v>
      </c>
      <c r="F69" t="s">
        <v>179</v>
      </c>
      <c r="G69">
        <v>4</v>
      </c>
      <c r="H69">
        <v>1685</v>
      </c>
      <c r="I69">
        <v>10</v>
      </c>
      <c r="J69" t="s">
        <v>184</v>
      </c>
      <c r="K69">
        <v>6066</v>
      </c>
      <c r="L69">
        <v>4785.92</v>
      </c>
      <c r="M69">
        <v>1280.08</v>
      </c>
      <c r="N69" t="str">
        <f t="shared" si="3"/>
        <v>Jun</v>
      </c>
      <c r="O69">
        <f t="shared" si="4"/>
        <v>6</v>
      </c>
      <c r="P69" s="2">
        <f t="shared" si="5"/>
        <v>0.21102538740520935</v>
      </c>
    </row>
    <row r="70" spans="1:16" x14ac:dyDescent="0.25">
      <c r="A70" t="s">
        <v>81</v>
      </c>
      <c r="B70" s="4">
        <v>46177.936708860747</v>
      </c>
      <c r="C70" t="s">
        <v>160</v>
      </c>
      <c r="D70" t="s">
        <v>171</v>
      </c>
      <c r="E70" t="s">
        <v>177</v>
      </c>
      <c r="F70" t="s">
        <v>180</v>
      </c>
      <c r="G70">
        <v>3</v>
      </c>
      <c r="H70">
        <v>14425</v>
      </c>
      <c r="I70">
        <v>10</v>
      </c>
      <c r="J70" t="s">
        <v>186</v>
      </c>
      <c r="K70">
        <v>38947.5</v>
      </c>
      <c r="L70">
        <v>24328.73</v>
      </c>
      <c r="M70">
        <v>14618.77</v>
      </c>
      <c r="N70" t="str">
        <f t="shared" si="3"/>
        <v>Jun</v>
      </c>
      <c r="O70">
        <f t="shared" si="4"/>
        <v>6</v>
      </c>
      <c r="P70" s="2">
        <f t="shared" si="5"/>
        <v>0.3753455292380769</v>
      </c>
    </row>
    <row r="71" spans="1:16" x14ac:dyDescent="0.25">
      <c r="A71" t="s">
        <v>82</v>
      </c>
      <c r="B71" s="4">
        <v>46180.215189873423</v>
      </c>
      <c r="C71" t="s">
        <v>161</v>
      </c>
      <c r="D71" t="s">
        <v>171</v>
      </c>
      <c r="E71" t="s">
        <v>177</v>
      </c>
      <c r="F71" t="s">
        <v>180</v>
      </c>
      <c r="G71">
        <v>1</v>
      </c>
      <c r="H71">
        <v>14087</v>
      </c>
      <c r="I71">
        <v>15</v>
      </c>
      <c r="J71" t="s">
        <v>185</v>
      </c>
      <c r="K71">
        <v>11973.95</v>
      </c>
      <c r="L71">
        <v>9374.33</v>
      </c>
      <c r="M71">
        <v>2599.62</v>
      </c>
      <c r="N71" t="str">
        <f t="shared" si="3"/>
        <v>Jun</v>
      </c>
      <c r="O71">
        <f t="shared" si="4"/>
        <v>6</v>
      </c>
      <c r="P71" s="2">
        <f t="shared" si="5"/>
        <v>0.21710630159638211</v>
      </c>
    </row>
    <row r="72" spans="1:16" x14ac:dyDescent="0.25">
      <c r="A72" t="s">
        <v>83</v>
      </c>
      <c r="B72" s="4">
        <v>46182.493670886062</v>
      </c>
      <c r="C72" t="s">
        <v>103</v>
      </c>
      <c r="D72" t="s">
        <v>175</v>
      </c>
      <c r="E72" t="s">
        <v>177</v>
      </c>
      <c r="F72" t="s">
        <v>181</v>
      </c>
      <c r="G72">
        <v>4</v>
      </c>
      <c r="H72">
        <v>55462</v>
      </c>
      <c r="I72">
        <v>15</v>
      </c>
      <c r="J72" t="s">
        <v>185</v>
      </c>
      <c r="K72">
        <v>188570.8</v>
      </c>
      <c r="L72">
        <v>127543.81</v>
      </c>
      <c r="M72">
        <v>61026.99</v>
      </c>
      <c r="N72" t="str">
        <f t="shared" si="3"/>
        <v>Jun</v>
      </c>
      <c r="O72">
        <f t="shared" si="4"/>
        <v>6</v>
      </c>
      <c r="P72" s="2">
        <f t="shared" si="5"/>
        <v>0.32362905603624742</v>
      </c>
    </row>
    <row r="73" spans="1:16" x14ac:dyDescent="0.25">
      <c r="A73" t="s">
        <v>84</v>
      </c>
      <c r="B73" s="4">
        <v>46184.772151898716</v>
      </c>
      <c r="C73" t="s">
        <v>162</v>
      </c>
      <c r="D73" t="s">
        <v>172</v>
      </c>
      <c r="E73" t="s">
        <v>178</v>
      </c>
      <c r="F73" t="s">
        <v>180</v>
      </c>
      <c r="G73">
        <v>4</v>
      </c>
      <c r="H73">
        <v>3438</v>
      </c>
      <c r="I73">
        <v>15</v>
      </c>
      <c r="J73" t="s">
        <v>186</v>
      </c>
      <c r="K73">
        <v>11689.2</v>
      </c>
      <c r="L73">
        <v>7523.55</v>
      </c>
      <c r="M73">
        <v>4165.6499999999996</v>
      </c>
      <c r="N73" t="str">
        <f t="shared" si="3"/>
        <v>Jun</v>
      </c>
      <c r="O73">
        <f t="shared" si="4"/>
        <v>6</v>
      </c>
      <c r="P73" s="2">
        <f t="shared" si="5"/>
        <v>0.35636741607637812</v>
      </c>
    </row>
    <row r="74" spans="1:16" x14ac:dyDescent="0.25">
      <c r="A74" t="s">
        <v>85</v>
      </c>
      <c r="B74" s="4">
        <v>46187.050632911392</v>
      </c>
      <c r="C74" t="s">
        <v>163</v>
      </c>
      <c r="D74" t="s">
        <v>172</v>
      </c>
      <c r="E74" t="s">
        <v>178</v>
      </c>
      <c r="F74" t="s">
        <v>179</v>
      </c>
      <c r="G74">
        <v>3</v>
      </c>
      <c r="H74">
        <v>2954</v>
      </c>
      <c r="I74">
        <v>0</v>
      </c>
      <c r="J74" t="s">
        <v>183</v>
      </c>
      <c r="K74">
        <v>8862</v>
      </c>
      <c r="L74">
        <v>6729.34</v>
      </c>
      <c r="M74">
        <v>2132.66</v>
      </c>
      <c r="N74" t="str">
        <f t="shared" si="3"/>
        <v>Jun</v>
      </c>
      <c r="O74">
        <f t="shared" si="4"/>
        <v>6</v>
      </c>
      <c r="P74" s="2">
        <f t="shared" si="5"/>
        <v>0.24065222297449784</v>
      </c>
    </row>
    <row r="75" spans="1:16" x14ac:dyDescent="0.25">
      <c r="A75" t="s">
        <v>86</v>
      </c>
      <c r="B75" s="4">
        <v>46189.329113924039</v>
      </c>
      <c r="C75" t="s">
        <v>164</v>
      </c>
      <c r="D75" t="s">
        <v>174</v>
      </c>
      <c r="E75" t="s">
        <v>178</v>
      </c>
      <c r="F75" t="s">
        <v>181</v>
      </c>
      <c r="G75">
        <v>1</v>
      </c>
      <c r="H75">
        <v>1489</v>
      </c>
      <c r="I75">
        <v>5</v>
      </c>
      <c r="J75" t="s">
        <v>186</v>
      </c>
      <c r="K75">
        <v>1414.55</v>
      </c>
      <c r="L75">
        <v>1054.96</v>
      </c>
      <c r="M75">
        <v>359.59</v>
      </c>
      <c r="N75" t="str">
        <f t="shared" si="3"/>
        <v>Jun</v>
      </c>
      <c r="O75">
        <f t="shared" si="4"/>
        <v>6</v>
      </c>
      <c r="P75" s="2">
        <f t="shared" si="5"/>
        <v>0.25420805203068114</v>
      </c>
    </row>
    <row r="76" spans="1:16" x14ac:dyDescent="0.25">
      <c r="A76" t="s">
        <v>87</v>
      </c>
      <c r="B76" s="4">
        <v>46191.6075949367</v>
      </c>
      <c r="C76" t="s">
        <v>165</v>
      </c>
      <c r="D76" t="s">
        <v>172</v>
      </c>
      <c r="E76" t="s">
        <v>178</v>
      </c>
      <c r="F76" t="s">
        <v>179</v>
      </c>
      <c r="G76">
        <v>3</v>
      </c>
      <c r="H76">
        <v>3185</v>
      </c>
      <c r="I76">
        <v>15</v>
      </c>
      <c r="J76" t="s">
        <v>183</v>
      </c>
      <c r="K76">
        <v>8121.75</v>
      </c>
      <c r="L76">
        <v>6460.81</v>
      </c>
      <c r="M76">
        <v>1660.94</v>
      </c>
      <c r="N76" t="str">
        <f t="shared" si="3"/>
        <v>Jun</v>
      </c>
      <c r="O76">
        <f t="shared" si="4"/>
        <v>6</v>
      </c>
      <c r="P76" s="2">
        <f t="shared" si="5"/>
        <v>0.20450518669006065</v>
      </c>
    </row>
    <row r="77" spans="1:16" x14ac:dyDescent="0.25">
      <c r="A77" t="s">
        <v>88</v>
      </c>
      <c r="B77" s="4">
        <v>46193.886075949362</v>
      </c>
      <c r="C77" t="s">
        <v>166</v>
      </c>
      <c r="D77" t="s">
        <v>174</v>
      </c>
      <c r="E77" t="s">
        <v>178</v>
      </c>
      <c r="F77" t="s">
        <v>181</v>
      </c>
      <c r="G77">
        <v>1</v>
      </c>
      <c r="H77">
        <v>1103</v>
      </c>
      <c r="I77">
        <v>5</v>
      </c>
      <c r="J77" t="s">
        <v>184</v>
      </c>
      <c r="K77">
        <v>1047.8499999999999</v>
      </c>
      <c r="L77">
        <v>803.72</v>
      </c>
      <c r="M77">
        <v>244.13</v>
      </c>
      <c r="N77" t="str">
        <f t="shared" si="3"/>
        <v>Jun</v>
      </c>
      <c r="O77">
        <f t="shared" si="4"/>
        <v>6</v>
      </c>
      <c r="P77" s="2">
        <f t="shared" si="5"/>
        <v>0.23298181991697287</v>
      </c>
    </row>
    <row r="78" spans="1:16" x14ac:dyDescent="0.25">
      <c r="A78" t="s">
        <v>89</v>
      </c>
      <c r="B78" s="4">
        <v>46196.164556962023</v>
      </c>
      <c r="C78" t="s">
        <v>167</v>
      </c>
      <c r="D78" t="s">
        <v>175</v>
      </c>
      <c r="E78" t="s">
        <v>177</v>
      </c>
      <c r="F78" t="s">
        <v>181</v>
      </c>
      <c r="G78">
        <v>5</v>
      </c>
      <c r="H78">
        <v>55192</v>
      </c>
      <c r="I78">
        <v>5</v>
      </c>
      <c r="J78" t="s">
        <v>184</v>
      </c>
      <c r="K78">
        <v>262162</v>
      </c>
      <c r="L78">
        <v>204668.87</v>
      </c>
      <c r="M78">
        <v>57493.13</v>
      </c>
      <c r="N78" t="str">
        <f t="shared" si="3"/>
        <v>Jun</v>
      </c>
      <c r="O78">
        <f t="shared" si="4"/>
        <v>6</v>
      </c>
      <c r="P78" s="2">
        <f t="shared" si="5"/>
        <v>0.2193038274044293</v>
      </c>
    </row>
    <row r="79" spans="1:16" x14ac:dyDescent="0.25">
      <c r="A79" t="s">
        <v>90</v>
      </c>
      <c r="B79" s="4">
        <v>46198.443037974677</v>
      </c>
      <c r="C79" t="s">
        <v>168</v>
      </c>
      <c r="D79" t="s">
        <v>171</v>
      </c>
      <c r="E79" t="s">
        <v>177</v>
      </c>
      <c r="F79" t="s">
        <v>182</v>
      </c>
      <c r="G79">
        <v>2</v>
      </c>
      <c r="H79">
        <v>14045</v>
      </c>
      <c r="I79">
        <v>10</v>
      </c>
      <c r="J79" t="s">
        <v>184</v>
      </c>
      <c r="K79">
        <v>25281</v>
      </c>
      <c r="L79">
        <v>17100.240000000002</v>
      </c>
      <c r="M79">
        <v>8180.76</v>
      </c>
      <c r="N79" t="str">
        <f t="shared" si="3"/>
        <v>Jun</v>
      </c>
      <c r="O79">
        <f t="shared" si="4"/>
        <v>6</v>
      </c>
      <c r="P79" s="2">
        <f t="shared" si="5"/>
        <v>0.32359321229381749</v>
      </c>
    </row>
    <row r="80" spans="1:16" x14ac:dyDescent="0.25">
      <c r="A80" t="s">
        <v>91</v>
      </c>
      <c r="B80" s="4">
        <v>46200.721518987339</v>
      </c>
      <c r="C80" t="s">
        <v>169</v>
      </c>
      <c r="D80" t="s">
        <v>171</v>
      </c>
      <c r="E80" t="s">
        <v>177</v>
      </c>
      <c r="F80" t="s">
        <v>179</v>
      </c>
      <c r="G80">
        <v>2</v>
      </c>
      <c r="H80">
        <v>13975</v>
      </c>
      <c r="I80">
        <v>0</v>
      </c>
      <c r="J80" t="s">
        <v>185</v>
      </c>
      <c r="K80">
        <v>27950</v>
      </c>
      <c r="L80">
        <v>18320.89</v>
      </c>
      <c r="M80">
        <v>9629.11</v>
      </c>
      <c r="N80" t="str">
        <f t="shared" si="3"/>
        <v>Jun</v>
      </c>
      <c r="O80">
        <f t="shared" si="4"/>
        <v>6</v>
      </c>
      <c r="P80" s="2">
        <f t="shared" si="5"/>
        <v>0.34451198568872987</v>
      </c>
    </row>
    <row r="81" spans="1:16" x14ac:dyDescent="0.25">
      <c r="A81" t="s">
        <v>92</v>
      </c>
      <c r="B81" s="4">
        <v>46203</v>
      </c>
      <c r="C81" t="s">
        <v>170</v>
      </c>
      <c r="D81" t="s">
        <v>171</v>
      </c>
      <c r="E81" t="s">
        <v>177</v>
      </c>
      <c r="F81" t="s">
        <v>180</v>
      </c>
      <c r="G81">
        <v>2</v>
      </c>
      <c r="H81">
        <v>13838</v>
      </c>
      <c r="I81">
        <v>15</v>
      </c>
      <c r="J81" t="s">
        <v>184</v>
      </c>
      <c r="K81">
        <v>23524.6</v>
      </c>
      <c r="L81">
        <v>18116.830000000002</v>
      </c>
      <c r="M81">
        <v>5407.77</v>
      </c>
      <c r="N81" t="str">
        <f t="shared" si="3"/>
        <v>Jun</v>
      </c>
      <c r="O81">
        <f t="shared" si="4"/>
        <v>6</v>
      </c>
      <c r="P81" s="2">
        <f t="shared" si="5"/>
        <v>0.22987723489453596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65463-A045-4DC6-A713-B6B34F838F15}">
  <dimension ref="A3:N25"/>
  <sheetViews>
    <sheetView topLeftCell="E7" workbookViewId="0">
      <selection activeCell="L10" sqref="L10"/>
    </sheetView>
  </sheetViews>
  <sheetFormatPr defaultRowHeight="15" x14ac:dyDescent="0.25"/>
  <cols>
    <col min="1" max="1" width="25.140625" bestFit="1" customWidth="1"/>
    <col min="2" max="2" width="15.42578125" bestFit="1" customWidth="1"/>
    <col min="4" max="4" width="13.140625" bestFit="1" customWidth="1"/>
    <col min="5" max="5" width="12.140625" bestFit="1" customWidth="1"/>
    <col min="6" max="6" width="10" bestFit="1" customWidth="1"/>
    <col min="7" max="7" width="13.140625" bestFit="1" customWidth="1"/>
    <col min="8" max="9" width="12.140625" bestFit="1" customWidth="1"/>
    <col min="10" max="10" width="13.140625" bestFit="1" customWidth="1"/>
    <col min="11" max="11" width="12.140625" bestFit="1" customWidth="1"/>
    <col min="12" max="12" width="11" bestFit="1" customWidth="1"/>
    <col min="13" max="13" width="13.140625" bestFit="1" customWidth="1"/>
    <col min="14" max="14" width="12.140625" bestFit="1" customWidth="1"/>
    <col min="15" max="15" width="15.5703125" bestFit="1" customWidth="1"/>
    <col min="16" max="16" width="12.5703125" bestFit="1" customWidth="1"/>
    <col min="17" max="17" width="15.5703125" bestFit="1" customWidth="1"/>
    <col min="18" max="18" width="12.5703125" bestFit="1" customWidth="1"/>
    <col min="19" max="19" width="15.5703125" bestFit="1" customWidth="1"/>
    <col min="20" max="20" width="12.5703125" bestFit="1" customWidth="1"/>
    <col min="21" max="21" width="15.5703125" bestFit="1" customWidth="1"/>
    <col min="22" max="22" width="12.5703125" bestFit="1" customWidth="1"/>
    <col min="23" max="23" width="15.5703125" bestFit="1" customWidth="1"/>
    <col min="24" max="24" width="12.5703125" bestFit="1" customWidth="1"/>
    <col min="25" max="25" width="15.5703125" bestFit="1" customWidth="1"/>
    <col min="26" max="26" width="12.5703125" bestFit="1" customWidth="1"/>
    <col min="27" max="27" width="15.5703125" bestFit="1" customWidth="1"/>
    <col min="28" max="28" width="12.5703125" bestFit="1" customWidth="1"/>
    <col min="29" max="29" width="15.5703125" bestFit="1" customWidth="1"/>
    <col min="30" max="30" width="12.5703125" bestFit="1" customWidth="1"/>
    <col min="31" max="31" width="15.5703125" bestFit="1" customWidth="1"/>
    <col min="32" max="32" width="12.5703125" bestFit="1" customWidth="1"/>
    <col min="33" max="33" width="15.5703125" bestFit="1" customWidth="1"/>
    <col min="34" max="34" width="12.5703125" bestFit="1" customWidth="1"/>
    <col min="35" max="35" width="15.5703125" bestFit="1" customWidth="1"/>
    <col min="36" max="36" width="12.5703125" bestFit="1" customWidth="1"/>
    <col min="37" max="37" width="15.5703125" bestFit="1" customWidth="1"/>
    <col min="38" max="38" width="12.5703125" bestFit="1" customWidth="1"/>
    <col min="39" max="39" width="15.5703125" bestFit="1" customWidth="1"/>
    <col min="40" max="40" width="12.5703125" bestFit="1" customWidth="1"/>
    <col min="41" max="41" width="15.5703125" bestFit="1" customWidth="1"/>
    <col min="42" max="42" width="12.5703125" bestFit="1" customWidth="1"/>
    <col min="43" max="43" width="15.5703125" bestFit="1" customWidth="1"/>
    <col min="44" max="44" width="12.5703125" bestFit="1" customWidth="1"/>
    <col min="45" max="45" width="15.5703125" bestFit="1" customWidth="1"/>
    <col min="46" max="46" width="12.5703125" bestFit="1" customWidth="1"/>
    <col min="47" max="47" width="15.5703125" bestFit="1" customWidth="1"/>
    <col min="48" max="48" width="12.5703125" bestFit="1" customWidth="1"/>
    <col min="49" max="49" width="15.5703125" bestFit="1" customWidth="1"/>
    <col min="50" max="50" width="12.5703125" bestFit="1" customWidth="1"/>
    <col min="51" max="51" width="15.5703125" bestFit="1" customWidth="1"/>
    <col min="52" max="52" width="12.5703125" bestFit="1" customWidth="1"/>
    <col min="53" max="53" width="15.5703125" bestFit="1" customWidth="1"/>
    <col min="54" max="54" width="12.5703125" bestFit="1" customWidth="1"/>
    <col min="55" max="55" width="15.5703125" bestFit="1" customWidth="1"/>
    <col min="56" max="56" width="12.5703125" bestFit="1" customWidth="1"/>
    <col min="57" max="57" width="15.5703125" bestFit="1" customWidth="1"/>
    <col min="58" max="58" width="12.5703125" bestFit="1" customWidth="1"/>
    <col min="59" max="59" width="15.5703125" bestFit="1" customWidth="1"/>
    <col min="60" max="60" width="12.5703125" bestFit="1" customWidth="1"/>
    <col min="61" max="61" width="15.5703125" bestFit="1" customWidth="1"/>
    <col min="62" max="62" width="12.5703125" bestFit="1" customWidth="1"/>
    <col min="63" max="63" width="15.5703125" bestFit="1" customWidth="1"/>
    <col min="64" max="64" width="12.5703125" bestFit="1" customWidth="1"/>
    <col min="65" max="65" width="15.5703125" bestFit="1" customWidth="1"/>
    <col min="66" max="66" width="12.5703125" bestFit="1" customWidth="1"/>
    <col min="67" max="67" width="15.5703125" bestFit="1" customWidth="1"/>
    <col min="68" max="68" width="12.5703125" bestFit="1" customWidth="1"/>
    <col min="69" max="69" width="15.5703125" bestFit="1" customWidth="1"/>
    <col min="70" max="70" width="12.5703125" bestFit="1" customWidth="1"/>
    <col min="71" max="71" width="15.5703125" bestFit="1" customWidth="1"/>
    <col min="72" max="72" width="12.5703125" bestFit="1" customWidth="1"/>
    <col min="73" max="73" width="15.5703125" bestFit="1" customWidth="1"/>
    <col min="74" max="74" width="12.5703125" bestFit="1" customWidth="1"/>
    <col min="75" max="75" width="15.5703125" bestFit="1" customWidth="1"/>
    <col min="76" max="76" width="12.5703125" bestFit="1" customWidth="1"/>
    <col min="77" max="77" width="15.5703125" bestFit="1" customWidth="1"/>
    <col min="78" max="78" width="12.5703125" bestFit="1" customWidth="1"/>
    <col min="79" max="79" width="15.5703125" bestFit="1" customWidth="1"/>
    <col min="80" max="80" width="12.5703125" bestFit="1" customWidth="1"/>
    <col min="81" max="81" width="15.5703125" bestFit="1" customWidth="1"/>
    <col min="82" max="82" width="12.5703125" bestFit="1" customWidth="1"/>
    <col min="83" max="83" width="15.5703125" bestFit="1" customWidth="1"/>
    <col min="84" max="84" width="12.5703125" bestFit="1" customWidth="1"/>
    <col min="85" max="85" width="15.5703125" bestFit="1" customWidth="1"/>
    <col min="86" max="86" width="12.5703125" bestFit="1" customWidth="1"/>
    <col min="87" max="87" width="15.5703125" bestFit="1" customWidth="1"/>
    <col min="88" max="88" width="12.5703125" bestFit="1" customWidth="1"/>
    <col min="89" max="89" width="15.5703125" bestFit="1" customWidth="1"/>
    <col min="90" max="90" width="12.5703125" bestFit="1" customWidth="1"/>
    <col min="91" max="91" width="15.5703125" bestFit="1" customWidth="1"/>
    <col min="92" max="92" width="12.5703125" bestFit="1" customWidth="1"/>
    <col min="93" max="93" width="15.5703125" bestFit="1" customWidth="1"/>
    <col min="94" max="94" width="12.5703125" bestFit="1" customWidth="1"/>
    <col min="95" max="95" width="15.5703125" bestFit="1" customWidth="1"/>
    <col min="96" max="96" width="12.5703125" bestFit="1" customWidth="1"/>
    <col min="97" max="97" width="15.5703125" bestFit="1" customWidth="1"/>
    <col min="98" max="98" width="12.5703125" bestFit="1" customWidth="1"/>
    <col min="99" max="99" width="15.5703125" bestFit="1" customWidth="1"/>
    <col min="100" max="100" width="12.5703125" bestFit="1" customWidth="1"/>
    <col min="101" max="101" width="15.5703125" bestFit="1" customWidth="1"/>
    <col min="102" max="102" width="12.5703125" bestFit="1" customWidth="1"/>
    <col min="103" max="103" width="15.5703125" bestFit="1" customWidth="1"/>
    <col min="104" max="104" width="12.5703125" bestFit="1" customWidth="1"/>
    <col min="105" max="105" width="15.5703125" bestFit="1" customWidth="1"/>
    <col min="106" max="106" width="12.5703125" bestFit="1" customWidth="1"/>
    <col min="107" max="107" width="15.5703125" bestFit="1" customWidth="1"/>
    <col min="108" max="108" width="12.5703125" bestFit="1" customWidth="1"/>
    <col min="109" max="109" width="15.5703125" bestFit="1" customWidth="1"/>
    <col min="110" max="110" width="12.5703125" bestFit="1" customWidth="1"/>
    <col min="111" max="111" width="15.5703125" bestFit="1" customWidth="1"/>
    <col min="112" max="112" width="12.5703125" bestFit="1" customWidth="1"/>
    <col min="113" max="113" width="15.5703125" bestFit="1" customWidth="1"/>
    <col min="114" max="114" width="12.5703125" bestFit="1" customWidth="1"/>
    <col min="115" max="115" width="15.5703125" bestFit="1" customWidth="1"/>
    <col min="116" max="116" width="12.5703125" bestFit="1" customWidth="1"/>
    <col min="117" max="117" width="15.5703125" bestFit="1" customWidth="1"/>
    <col min="118" max="118" width="12.5703125" bestFit="1" customWidth="1"/>
    <col min="119" max="119" width="15.5703125" bestFit="1" customWidth="1"/>
    <col min="120" max="120" width="12.5703125" bestFit="1" customWidth="1"/>
    <col min="121" max="121" width="15.5703125" bestFit="1" customWidth="1"/>
    <col min="122" max="122" width="12.5703125" bestFit="1" customWidth="1"/>
    <col min="123" max="123" width="15.5703125" bestFit="1" customWidth="1"/>
    <col min="124" max="124" width="12.5703125" bestFit="1" customWidth="1"/>
    <col min="125" max="125" width="15.5703125" bestFit="1" customWidth="1"/>
    <col min="126" max="126" width="12.5703125" bestFit="1" customWidth="1"/>
    <col min="127" max="127" width="15.5703125" bestFit="1" customWidth="1"/>
    <col min="128" max="128" width="12.5703125" bestFit="1" customWidth="1"/>
    <col min="129" max="129" width="15.5703125" bestFit="1" customWidth="1"/>
    <col min="130" max="130" width="12.5703125" bestFit="1" customWidth="1"/>
    <col min="131" max="131" width="15.5703125" bestFit="1" customWidth="1"/>
    <col min="132" max="132" width="12.5703125" bestFit="1" customWidth="1"/>
    <col min="133" max="133" width="15.5703125" bestFit="1" customWidth="1"/>
    <col min="134" max="134" width="12.5703125" bestFit="1" customWidth="1"/>
    <col min="135" max="135" width="15.5703125" bestFit="1" customWidth="1"/>
    <col min="136" max="136" width="12.5703125" bestFit="1" customWidth="1"/>
    <col min="137" max="137" width="15.5703125" bestFit="1" customWidth="1"/>
    <col min="138" max="138" width="12.5703125" bestFit="1" customWidth="1"/>
    <col min="139" max="139" width="15.5703125" bestFit="1" customWidth="1"/>
    <col min="140" max="140" width="12.5703125" bestFit="1" customWidth="1"/>
    <col min="141" max="141" width="15.5703125" bestFit="1" customWidth="1"/>
    <col min="142" max="142" width="12.5703125" bestFit="1" customWidth="1"/>
    <col min="143" max="143" width="15.5703125" bestFit="1" customWidth="1"/>
    <col min="144" max="144" width="12.5703125" bestFit="1" customWidth="1"/>
    <col min="145" max="145" width="15.5703125" bestFit="1" customWidth="1"/>
    <col min="146" max="146" width="12.5703125" bestFit="1" customWidth="1"/>
    <col min="147" max="147" width="15.5703125" bestFit="1" customWidth="1"/>
    <col min="148" max="148" width="12.5703125" bestFit="1" customWidth="1"/>
    <col min="149" max="149" width="15.5703125" bestFit="1" customWidth="1"/>
    <col min="150" max="150" width="12.5703125" bestFit="1" customWidth="1"/>
    <col min="151" max="151" width="15.5703125" bestFit="1" customWidth="1"/>
    <col min="152" max="152" width="12.5703125" bestFit="1" customWidth="1"/>
    <col min="153" max="153" width="15.5703125" bestFit="1" customWidth="1"/>
    <col min="154" max="154" width="12.5703125" bestFit="1" customWidth="1"/>
    <col min="155" max="155" width="15.5703125" bestFit="1" customWidth="1"/>
    <col min="156" max="156" width="12.5703125" bestFit="1" customWidth="1"/>
    <col min="157" max="157" width="15.5703125" bestFit="1" customWidth="1"/>
    <col min="158" max="158" width="12.5703125" bestFit="1" customWidth="1"/>
    <col min="159" max="159" width="15.5703125" bestFit="1" customWidth="1"/>
    <col min="160" max="160" width="12.5703125" bestFit="1" customWidth="1"/>
    <col min="161" max="161" width="15.5703125" bestFit="1" customWidth="1"/>
    <col min="162" max="162" width="12.5703125" bestFit="1" customWidth="1"/>
    <col min="163" max="163" width="12.140625" bestFit="1" customWidth="1"/>
    <col min="164" max="164" width="12.5703125" bestFit="1" customWidth="1"/>
    <col min="165" max="165" width="17.28515625" bestFit="1" customWidth="1"/>
    <col min="166" max="166" width="17.7109375" bestFit="1" customWidth="1"/>
  </cols>
  <sheetData>
    <row r="3" spans="1:12" x14ac:dyDescent="0.25">
      <c r="A3" t="s">
        <v>193</v>
      </c>
      <c r="B3" t="s">
        <v>199</v>
      </c>
      <c r="D3" s="6" t="s">
        <v>195</v>
      </c>
      <c r="E3" t="s">
        <v>10</v>
      </c>
      <c r="F3" t="s">
        <v>209</v>
      </c>
      <c r="H3" s="6" t="s">
        <v>195</v>
      </c>
      <c r="I3" t="s">
        <v>193</v>
      </c>
    </row>
    <row r="4" spans="1:12" x14ac:dyDescent="0.25">
      <c r="A4">
        <v>2629364.5499999998</v>
      </c>
      <c r="B4" s="9">
        <f>GETPIVOTDATA("[Measures].[Sum of Sales]",$A$3)</f>
        <v>2629364.5499999998</v>
      </c>
      <c r="D4" s="7" t="s">
        <v>203</v>
      </c>
      <c r="E4">
        <v>177447.65</v>
      </c>
      <c r="F4">
        <v>54666.28</v>
      </c>
      <c r="H4" s="7" t="s">
        <v>178</v>
      </c>
      <c r="I4" s="8">
        <v>9.0219326947265643E-2</v>
      </c>
    </row>
    <row r="5" spans="1:12" x14ac:dyDescent="0.25">
      <c r="D5" s="7" t="s">
        <v>204</v>
      </c>
      <c r="E5">
        <v>662610.15</v>
      </c>
      <c r="F5">
        <v>213652.36</v>
      </c>
      <c r="H5" s="7" t="s">
        <v>177</v>
      </c>
      <c r="I5" s="8">
        <v>0.90978067305273436</v>
      </c>
    </row>
    <row r="6" spans="1:12" x14ac:dyDescent="0.25">
      <c r="A6" t="s">
        <v>194</v>
      </c>
      <c r="B6" t="s">
        <v>200</v>
      </c>
      <c r="D6" s="7" t="s">
        <v>205</v>
      </c>
      <c r="E6">
        <v>411976.65</v>
      </c>
      <c r="F6">
        <v>129291.87</v>
      </c>
      <c r="H6" s="7" t="s">
        <v>196</v>
      </c>
      <c r="I6" s="8">
        <v>1</v>
      </c>
    </row>
    <row r="7" spans="1:12" x14ac:dyDescent="0.25">
      <c r="A7">
        <v>780003.52</v>
      </c>
      <c r="B7" s="9">
        <f>GETPIVOTDATA("[Measures].[Sum of Profit]",$A$6)</f>
        <v>780003.52</v>
      </c>
      <c r="D7" s="7" t="s">
        <v>206</v>
      </c>
      <c r="E7">
        <v>496053.4</v>
      </c>
      <c r="F7">
        <v>141481.59</v>
      </c>
    </row>
    <row r="8" spans="1:12" x14ac:dyDescent="0.25">
      <c r="D8" s="7" t="s">
        <v>207</v>
      </c>
      <c r="E8">
        <v>265665.5</v>
      </c>
      <c r="F8">
        <v>72112.22</v>
      </c>
    </row>
    <row r="9" spans="1:12" x14ac:dyDescent="0.25">
      <c r="A9" t="s">
        <v>197</v>
      </c>
      <c r="B9" t="s">
        <v>201</v>
      </c>
      <c r="D9" s="7" t="s">
        <v>208</v>
      </c>
      <c r="E9">
        <v>615611.19999999995</v>
      </c>
      <c r="F9">
        <v>168799.2</v>
      </c>
    </row>
    <row r="10" spans="1:12" x14ac:dyDescent="0.25">
      <c r="A10">
        <v>80</v>
      </c>
      <c r="B10">
        <f>GETPIVOTDATA("[Measures].[Count of Order_ID]",$A$9)</f>
        <v>80</v>
      </c>
      <c r="D10" s="7" t="s">
        <v>196</v>
      </c>
      <c r="E10">
        <v>2629364.5499999998</v>
      </c>
      <c r="F10">
        <v>780003.52</v>
      </c>
      <c r="J10" s="6" t="s">
        <v>195</v>
      </c>
      <c r="K10" t="s">
        <v>209</v>
      </c>
      <c r="L10" t="s">
        <v>210</v>
      </c>
    </row>
    <row r="11" spans="1:12" x14ac:dyDescent="0.25">
      <c r="J11" s="7" t="s">
        <v>175</v>
      </c>
      <c r="K11">
        <v>458335.61</v>
      </c>
      <c r="L11">
        <v>1041636.79</v>
      </c>
    </row>
    <row r="12" spans="1:12" x14ac:dyDescent="0.25">
      <c r="A12" t="s">
        <v>198</v>
      </c>
      <c r="B12" t="s">
        <v>202</v>
      </c>
      <c r="D12" s="6" t="s">
        <v>195</v>
      </c>
      <c r="E12" t="s">
        <v>193</v>
      </c>
      <c r="G12" s="6" t="s">
        <v>195</v>
      </c>
      <c r="H12" t="s">
        <v>193</v>
      </c>
      <c r="J12" s="7" t="s">
        <v>171</v>
      </c>
      <c r="K12">
        <v>250328.43</v>
      </c>
      <c r="L12">
        <v>629636.52</v>
      </c>
    </row>
    <row r="13" spans="1:12" x14ac:dyDescent="0.25">
      <c r="A13">
        <v>79</v>
      </c>
      <c r="B13">
        <f>GETPIVOTDATA("[Measures].[Distinct Count of Customer]",$A$12)</f>
        <v>79</v>
      </c>
      <c r="D13" s="7" t="s">
        <v>181</v>
      </c>
      <c r="E13">
        <v>858555.1</v>
      </c>
      <c r="G13" s="7" t="s">
        <v>173</v>
      </c>
      <c r="H13">
        <v>67251.3</v>
      </c>
      <c r="J13" s="7" t="s">
        <v>172</v>
      </c>
      <c r="K13">
        <v>31980.18</v>
      </c>
      <c r="L13">
        <v>77521.47</v>
      </c>
    </row>
    <row r="14" spans="1:12" x14ac:dyDescent="0.25">
      <c r="D14" s="7" t="s">
        <v>180</v>
      </c>
      <c r="E14">
        <v>650732.75</v>
      </c>
      <c r="G14" s="7" t="s">
        <v>174</v>
      </c>
      <c r="H14">
        <v>72674.25</v>
      </c>
      <c r="J14" s="7" t="s">
        <v>174</v>
      </c>
      <c r="K14">
        <v>17978.419999999998</v>
      </c>
      <c r="L14">
        <v>54695.83</v>
      </c>
    </row>
    <row r="15" spans="1:12" x14ac:dyDescent="0.25">
      <c r="A15" t="s">
        <v>191</v>
      </c>
      <c r="B15" t="s">
        <v>191</v>
      </c>
      <c r="D15" s="7" t="s">
        <v>182</v>
      </c>
      <c r="E15">
        <v>622693.85</v>
      </c>
      <c r="G15" s="7" t="s">
        <v>172</v>
      </c>
      <c r="H15">
        <v>109501.65</v>
      </c>
      <c r="J15" s="7" t="s">
        <v>173</v>
      </c>
      <c r="K15">
        <v>21380.880000000001</v>
      </c>
      <c r="L15">
        <v>45870.42</v>
      </c>
    </row>
    <row r="16" spans="1:12" x14ac:dyDescent="0.25">
      <c r="A16" s="8">
        <f>GETPIVOTDATA("[Measures].[Sum of Profit]",$A$6)/GETPIVOTDATA("[Measures].[Sum of Sales]",$A$3)</f>
        <v>0.29665096078061903</v>
      </c>
      <c r="B16" s="8">
        <f>A16</f>
        <v>0.29665096078061903</v>
      </c>
      <c r="D16" s="7" t="s">
        <v>179</v>
      </c>
      <c r="E16">
        <v>496216.65</v>
      </c>
      <c r="G16" s="7" t="s">
        <v>171</v>
      </c>
      <c r="H16">
        <v>879964.95</v>
      </c>
      <c r="J16" s="7" t="s">
        <v>196</v>
      </c>
      <c r="K16">
        <v>780003.52</v>
      </c>
      <c r="L16">
        <v>1849361.03</v>
      </c>
    </row>
    <row r="17" spans="4:14" x14ac:dyDescent="0.25">
      <c r="D17" s="7" t="s">
        <v>190</v>
      </c>
      <c r="E17">
        <v>1166.2</v>
      </c>
      <c r="G17" s="7" t="s">
        <v>175</v>
      </c>
      <c r="H17">
        <v>1499972.4</v>
      </c>
    </row>
    <row r="18" spans="4:14" x14ac:dyDescent="0.25">
      <c r="D18" s="7" t="s">
        <v>196</v>
      </c>
      <c r="E18">
        <v>2629364.5499999998</v>
      </c>
      <c r="G18" s="7" t="s">
        <v>196</v>
      </c>
      <c r="H18">
        <v>2629364.5499999998</v>
      </c>
      <c r="J18" s="6" t="s">
        <v>195</v>
      </c>
      <c r="K18" t="s">
        <v>193</v>
      </c>
      <c r="M18" s="6" t="s">
        <v>195</v>
      </c>
      <c r="N18" t="s">
        <v>193</v>
      </c>
    </row>
    <row r="19" spans="4:14" x14ac:dyDescent="0.25">
      <c r="G19" s="6" t="s">
        <v>195</v>
      </c>
      <c r="H19" t="s">
        <v>193</v>
      </c>
      <c r="J19" s="7" t="s">
        <v>173</v>
      </c>
      <c r="K19">
        <v>67251.3</v>
      </c>
      <c r="M19" s="7" t="s">
        <v>186</v>
      </c>
      <c r="N19" s="8">
        <v>0.10687897956181086</v>
      </c>
    </row>
    <row r="20" spans="4:14" x14ac:dyDescent="0.25">
      <c r="G20" s="7" t="s">
        <v>175</v>
      </c>
      <c r="H20">
        <v>1499972.4</v>
      </c>
      <c r="J20" s="7" t="s">
        <v>174</v>
      </c>
      <c r="K20">
        <v>72674.25</v>
      </c>
      <c r="M20" s="7" t="s">
        <v>183</v>
      </c>
      <c r="N20" s="8">
        <v>0.20879655124277083</v>
      </c>
    </row>
    <row r="21" spans="4:14" x14ac:dyDescent="0.25">
      <c r="G21" s="7" t="s">
        <v>171</v>
      </c>
      <c r="H21">
        <v>879964.95</v>
      </c>
      <c r="J21" s="7" t="s">
        <v>172</v>
      </c>
      <c r="K21">
        <v>109501.65</v>
      </c>
      <c r="M21" s="7" t="s">
        <v>185</v>
      </c>
      <c r="N21" s="8">
        <v>0.3575978081852515</v>
      </c>
    </row>
    <row r="22" spans="4:14" x14ac:dyDescent="0.25">
      <c r="G22" s="7" t="s">
        <v>172</v>
      </c>
      <c r="H22">
        <v>109501.65</v>
      </c>
      <c r="J22" s="7" t="s">
        <v>171</v>
      </c>
      <c r="K22">
        <v>879964.95</v>
      </c>
      <c r="M22" s="7" t="s">
        <v>184</v>
      </c>
      <c r="N22" s="8">
        <v>0.3267266610101669</v>
      </c>
    </row>
    <row r="23" spans="4:14" x14ac:dyDescent="0.25">
      <c r="G23" s="7" t="s">
        <v>174</v>
      </c>
      <c r="H23">
        <v>72674.25</v>
      </c>
      <c r="J23" s="7" t="s">
        <v>175</v>
      </c>
      <c r="K23">
        <v>1499972.4</v>
      </c>
      <c r="M23" s="7" t="s">
        <v>196</v>
      </c>
      <c r="N23" s="8">
        <v>1</v>
      </c>
    </row>
    <row r="24" spans="4:14" x14ac:dyDescent="0.25">
      <c r="G24" s="7" t="s">
        <v>173</v>
      </c>
      <c r="H24">
        <v>67251.3</v>
      </c>
      <c r="J24" s="7" t="s">
        <v>196</v>
      </c>
      <c r="K24">
        <v>2629364.5499999998</v>
      </c>
    </row>
    <row r="25" spans="4:14" x14ac:dyDescent="0.25">
      <c r="G25" s="7" t="s">
        <v>196</v>
      </c>
      <c r="H25">
        <v>2629364.5499999998</v>
      </c>
    </row>
  </sheetData>
  <pageMargins left="0.7" right="0.7" top="0.75" bottom="0.75" header="0.3" footer="0.3"/>
  <pageSetup orientation="portrait"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DD97D-727F-43E3-954A-496447C8EEE6}">
  <dimension ref="A1"/>
  <sheetViews>
    <sheetView showGridLines="0" tabSelected="1" zoomScale="60" zoomScaleNormal="60" workbookViewId="0">
      <selection activeCell="Z28" sqref="Z28"/>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2026-09-18T00:21:58Z</dcterms:created>
  <dcterms:modified xsi:type="dcterms:W3CDTF">2026-09-23T04:08:46Z</dcterms:modified>
</cp:coreProperties>
</file>