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f\"/>
    </mc:Choice>
  </mc:AlternateContent>
  <xr:revisionPtr revIDLastSave="0" documentId="13_ncr:1_{28A7CC6B-ED52-4C30-96C8-959E02876E4E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Cleaned 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2" i="5"/>
  <c r="H68" i="5"/>
</calcChain>
</file>

<file path=xl/sharedStrings.xml><?xml version="1.0" encoding="utf-8"?>
<sst xmlns="http://schemas.openxmlformats.org/spreadsheetml/2006/main" count="496" uniqueCount="193">
  <si>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</si>
  <si>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</si>
  <si>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</si>
  <si>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</si>
  <si>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</si>
  <si>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</si>
  <si>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</si>
  <si>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</si>
  <si>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</si>
  <si>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</si>
  <si>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</si>
  <si>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</si>
  <si>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</si>
  <si>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</si>
  <si>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</si>
  <si>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</si>
  <si>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</si>
  <si>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</si>
  <si>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</si>
  <si>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</si>
  <si>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</si>
  <si>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</si>
  <si>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</si>
  <si>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</si>
  <si>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</si>
  <si>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</si>
  <si>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</si>
  <si>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</si>
  <si>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</si>
  <si>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</si>
  <si>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</si>
  <si>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</si>
  <si>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</si>
  <si>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</si>
  <si>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</si>
  <si>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</si>
  <si>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</si>
  <si>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</si>
  <si>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</si>
  <si>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</si>
  <si>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</si>
  <si>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</si>
  <si>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</si>
  <si>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</si>
  <si>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</si>
  <si>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</si>
  <si>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</si>
  <si>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</si>
  <si>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</si>
  <si>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</si>
  <si>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</si>
  <si>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</si>
  <si>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</si>
  <si>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</si>
  <si>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</si>
  <si>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</si>
  <si>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</si>
  <si>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</si>
  <si>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</si>
  <si>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</si>
  <si>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</si>
  <si>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</si>
  <si>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</si>
  <si>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</si>
  <si>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</si>
  <si>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</si>
  <si>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</si>
  <si>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</si>
  <si>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</si>
  <si>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</si>
  <si>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</si>
  <si>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</si>
  <si>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</si>
  <si>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</si>
  <si>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</si>
  <si>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</si>
  <si>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</si>
  <si>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</si>
  <si>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</si>
  <si>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</si>
  <si>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</si>
  <si>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</si>
  <si>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</si>
  <si>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</si>
  <si>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</si>
  <si>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</si>
  <si>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</si>
  <si>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</si>
  <si>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</si>
  <si>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</si>
  <si>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</si>
  <si>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</si>
  <si>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</si>
  <si>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</si>
  <si>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</si>
  <si>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</si>
  <si>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</si>
  <si>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</si>
  <si>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</si>
  <si>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</si>
  <si>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</si>
  <si>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</si>
  <si>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</si>
  <si>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</si>
  <si>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</si>
  <si>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</si>
  <si>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</si>
  <si>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</si>
  <si>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</si>
  <si>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</si>
  <si>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</si>
  <si>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</si>
  <si>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</si>
  <si>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</si>
  <si>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</si>
  <si>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</si>
  <si>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</si>
  <si>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</si>
  <si>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</si>
  <si>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</si>
  <si>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</si>
  <si>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</si>
  <si>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</si>
  <si>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</si>
  <si>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</si>
  <si>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</si>
  <si>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</si>
  <si>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</si>
  <si>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</si>
  <si>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</si>
  <si>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</si>
  <si>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</si>
  <si>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</si>
  <si>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</si>
  <si>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</si>
  <si>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</si>
  <si>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</si>
  <si>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</si>
  <si>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</si>
  <si>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</si>
  <si>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</si>
  <si>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</si>
  <si>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</si>
  <si>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</si>
  <si>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</si>
  <si>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</si>
  <si>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</si>
  <si>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</si>
  <si>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</si>
  <si>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</si>
  <si>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</si>
  <si>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</si>
  <si>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</si>
  <si>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</si>
  <si>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</si>
  <si>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</si>
  <si>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</si>
  <si>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</si>
  <si>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</si>
  <si>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</si>
  <si>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</si>
  <si>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</si>
  <si>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</si>
  <si>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</si>
  <si>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</si>
  <si>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</si>
  <si>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</si>
  <si>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</si>
  <si>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</si>
  <si>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</si>
  <si>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</si>
  <si>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</si>
  <si>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</si>
  <si>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</si>
  <si>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</si>
  <si>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</si>
  <si>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 xml:space="preserve">Mouse </t>
  </si>
  <si>
    <t>Electronics</t>
  </si>
  <si>
    <t>Accessories</t>
  </si>
  <si>
    <t>North</t>
  </si>
  <si>
    <t>East</t>
  </si>
  <si>
    <t>West</t>
  </si>
  <si>
    <t>South</t>
  </si>
  <si>
    <t>Cash</t>
  </si>
  <si>
    <t>UPI</t>
  </si>
  <si>
    <t>Net Banking</t>
  </si>
  <si>
    <t>Card</t>
  </si>
  <si>
    <t xml:space="preserve">Card </t>
  </si>
  <si>
    <t>Month</t>
  </si>
  <si>
    <t>Month_No</t>
  </si>
  <si>
    <t>Unknown</t>
  </si>
  <si>
    <t>Profit Margin %</t>
  </si>
  <si>
    <t>C1016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</si>
</sst>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b/>
        <i val="0"/>
        <color theme="1"/>
      </font>
    </dxf>
    <dxf>
      <font>
        <color theme="0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9" defaultPivotStyle="PivotStyleLight16">
    <tableStyle name="Slicer Style 1" pivot="0" table="0" count="6" xr9:uid="{D4818978-0DB0-4F33-9759-69D622CEB7C0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4">
        <dxf>
          <font>
            <color theme="1"/>
          </font>
        </dxf>
        <dxf>
          <font>
            <color theme="0"/>
          </font>
          <fill>
            <patternFill>
              <bgColor theme="8" tint="-0.499984740745262"/>
            </patternFill>
          </fill>
        </dxf>
        <dxf>
          <font>
            <color theme="1"/>
          </font>
        </dxf>
        <dxf>
          <font>
            <color theme="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3"/>
            <x14:slicerStyleElement type="unselectedItemWithNo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72F0-9255-46C3-997D-8B3D757852C8}">
  <dimension ref="A1:P81"/>
  <sheetViews>
    <sheetView tabSelected="1" workbookViewId="0">
      <selection activeCell="Q14" sqref="Q14"/>
    </sheetView>
  </sheetViews>
  <sheetFormatPr defaultRowHeight="15" x14ac:dyDescent="0.25"/>
  <cols>
    <col min="1" max="1" width="9.85546875" bestFit="1" customWidth="1"/>
    <col min="2" max="2" width="18.28515625" style="4" bestFit="1" customWidth="1"/>
    <col min="3" max="3" width="9.5703125" bestFit="1" customWidth="1"/>
    <col min="4" max="4" width="9.42578125" bestFit="1" customWidth="1"/>
    <col min="5" max="5" width="11.28515625" bestFit="1" customWidth="1"/>
    <col min="6" max="6" width="9.42578125" customWidth="1"/>
    <col min="7" max="7" width="8.7109375" bestFit="1" customWidth="1"/>
    <col min="8" max="8" width="10.28515625" bestFit="1" customWidth="1"/>
    <col min="9" max="9" width="11.28515625" bestFit="1" customWidth="1"/>
    <col min="10" max="10" width="15.28515625" bestFit="1" customWidth="1"/>
    <col min="11" max="12" width="10" bestFit="1" customWidth="1"/>
    <col min="13" max="13" width="9" bestFit="1" customWidth="1"/>
    <col min="15" max="15" width="10.5703125" bestFit="1" customWidth="1"/>
    <col min="16" max="16" width="14.85546875" bestFit="1" customWidth="1"/>
  </cols>
  <sheetData>
    <row r="1" spans="1:16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188</v>
      </c>
      <c r="O1" s="5" t="s">
        <v>189</v>
      </c>
      <c r="P1" s="5" t="s">
        <v>191</v>
      </c>
    </row>
    <row r="2" spans="1:16" x14ac:dyDescent="0.25">
      <c r="A2" t="s">
        <v>13</v>
      </c>
      <c r="B2" s="4">
        <v>46023</v>
      </c>
      <c r="C2" t="s">
        <v>93</v>
      </c>
      <c r="D2" t="s">
        <v>171</v>
      </c>
      <c r="E2" t="s">
        <v>177</v>
      </c>
      <c r="F2" t="s">
        <v>179</v>
      </c>
      <c r="G2">
        <v>3</v>
      </c>
      <c r="H2">
        <v>13962</v>
      </c>
      <c r="I2">
        <v>0</v>
      </c>
      <c r="J2" t="s">
        <v>183</v>
      </c>
      <c r="K2">
        <v>41886</v>
      </c>
      <c r="L2">
        <v>28238.14</v>
      </c>
      <c r="M2">
        <v>13647.86</v>
      </c>
      <c r="N2" t="str">
        <f>TEXT(B2,"mmm")</f>
        <v>Jan</v>
      </c>
      <c r="O2">
        <f>MONTH(B2)</f>
        <v>1</v>
      </c>
      <c r="P2" s="2">
        <f>M2/K2</f>
        <v>0.32583345270496111</v>
      </c>
    </row>
    <row r="3" spans="1:16" x14ac:dyDescent="0.25">
      <c r="A3" t="s">
        <v>14</v>
      </c>
      <c r="B3" s="4">
        <v>46025.278481012647</v>
      </c>
      <c r="C3" t="s">
        <v>94</v>
      </c>
      <c r="D3" t="s">
        <v>172</v>
      </c>
      <c r="E3" t="s">
        <v>178</v>
      </c>
      <c r="F3" t="s">
        <v>179</v>
      </c>
      <c r="G3">
        <v>1</v>
      </c>
      <c r="H3">
        <v>3480</v>
      </c>
      <c r="I3">
        <v>5</v>
      </c>
      <c r="J3" t="s">
        <v>184</v>
      </c>
      <c r="K3">
        <v>3306</v>
      </c>
      <c r="L3">
        <v>2339.9699999999998</v>
      </c>
      <c r="M3">
        <v>966.03</v>
      </c>
      <c r="N3" t="str">
        <f t="shared" ref="N3:N66" si="0">TEXT(B3,"mmm")</f>
        <v>Jan</v>
      </c>
      <c r="O3">
        <f t="shared" ref="O3:O66" si="1">MONTH(B3)</f>
        <v>1</v>
      </c>
      <c r="P3" s="2">
        <f t="shared" ref="P3:P66" si="2">M3/K3</f>
        <v>0.29220508166969145</v>
      </c>
    </row>
    <row r="4" spans="1:16" x14ac:dyDescent="0.25">
      <c r="A4" t="s">
        <v>15</v>
      </c>
      <c r="B4" s="4">
        <v>46027.556962025323</v>
      </c>
      <c r="C4" t="s">
        <v>95</v>
      </c>
      <c r="D4" t="s">
        <v>173</v>
      </c>
      <c r="E4" t="s">
        <v>178</v>
      </c>
      <c r="F4" t="s">
        <v>179</v>
      </c>
      <c r="G4">
        <v>2</v>
      </c>
      <c r="H4">
        <v>2160</v>
      </c>
      <c r="I4">
        <v>10</v>
      </c>
      <c r="J4" t="s">
        <v>183</v>
      </c>
      <c r="K4">
        <v>3888</v>
      </c>
      <c r="L4">
        <v>2471.5700000000002</v>
      </c>
      <c r="M4">
        <v>1416.43</v>
      </c>
      <c r="N4" t="str">
        <f t="shared" si="0"/>
        <v>Jan</v>
      </c>
      <c r="O4">
        <f t="shared" si="1"/>
        <v>1</v>
      </c>
      <c r="P4" s="2">
        <f t="shared" si="2"/>
        <v>0.36430812757201647</v>
      </c>
    </row>
    <row r="5" spans="1:16" x14ac:dyDescent="0.25">
      <c r="A5" t="s">
        <v>16</v>
      </c>
      <c r="B5" s="4">
        <v>46029.835443037977</v>
      </c>
      <c r="C5" t="s">
        <v>96</v>
      </c>
      <c r="D5" t="s">
        <v>172</v>
      </c>
      <c r="E5" t="s">
        <v>178</v>
      </c>
      <c r="F5" t="s">
        <v>182</v>
      </c>
      <c r="G5">
        <v>2</v>
      </c>
      <c r="H5">
        <v>3379</v>
      </c>
      <c r="I5">
        <v>5</v>
      </c>
      <c r="J5" t="s">
        <v>183</v>
      </c>
      <c r="K5">
        <v>6420.1</v>
      </c>
      <c r="L5">
        <v>4013.01</v>
      </c>
      <c r="M5">
        <v>2407.09</v>
      </c>
      <c r="N5" t="str">
        <f t="shared" si="0"/>
        <v>Jan</v>
      </c>
      <c r="O5">
        <f t="shared" si="1"/>
        <v>1</v>
      </c>
      <c r="P5" s="2">
        <f t="shared" si="2"/>
        <v>0.37493029703587172</v>
      </c>
    </row>
    <row r="6" spans="1:16" x14ac:dyDescent="0.25">
      <c r="A6" t="s">
        <v>17</v>
      </c>
      <c r="B6" s="4">
        <v>46032.113924050624</v>
      </c>
      <c r="C6" t="s">
        <v>97</v>
      </c>
      <c r="D6" t="s">
        <v>172</v>
      </c>
      <c r="E6" t="s">
        <v>178</v>
      </c>
      <c r="F6" t="s">
        <v>179</v>
      </c>
      <c r="G6">
        <v>4</v>
      </c>
      <c r="H6">
        <v>3197</v>
      </c>
      <c r="I6">
        <v>10</v>
      </c>
      <c r="J6" t="s">
        <v>184</v>
      </c>
      <c r="K6">
        <v>11509.2</v>
      </c>
      <c r="L6">
        <v>9351.57</v>
      </c>
      <c r="M6">
        <v>2157.63</v>
      </c>
      <c r="N6" t="str">
        <f t="shared" si="0"/>
        <v>Jan</v>
      </c>
      <c r="O6">
        <f t="shared" si="1"/>
        <v>1</v>
      </c>
      <c r="P6" s="2">
        <f t="shared" si="2"/>
        <v>0.18747002398081536</v>
      </c>
    </row>
    <row r="7" spans="1:16" x14ac:dyDescent="0.25">
      <c r="A7" t="s">
        <v>18</v>
      </c>
      <c r="B7" s="4">
        <v>46034.392405063278</v>
      </c>
      <c r="C7" t="s">
        <v>98</v>
      </c>
      <c r="D7" t="s">
        <v>174</v>
      </c>
      <c r="E7" t="s">
        <v>178</v>
      </c>
      <c r="F7" t="s">
        <v>179</v>
      </c>
      <c r="G7">
        <v>5</v>
      </c>
      <c r="H7">
        <v>1276</v>
      </c>
      <c r="I7">
        <v>5</v>
      </c>
      <c r="J7" t="s">
        <v>185</v>
      </c>
      <c r="K7">
        <v>6061</v>
      </c>
      <c r="L7">
        <v>4771.2</v>
      </c>
      <c r="M7">
        <v>1289.8</v>
      </c>
      <c r="N7" t="str">
        <f t="shared" si="0"/>
        <v>Jan</v>
      </c>
      <c r="O7">
        <f t="shared" si="1"/>
        <v>1</v>
      </c>
      <c r="P7" s="2">
        <f t="shared" si="2"/>
        <v>0.21280316779409339</v>
      </c>
    </row>
    <row r="8" spans="1:16" x14ac:dyDescent="0.25">
      <c r="A8" t="s">
        <v>19</v>
      </c>
      <c r="B8" s="4">
        <v>46036.670886075954</v>
      </c>
      <c r="C8" t="s">
        <v>99</v>
      </c>
      <c r="D8" t="s">
        <v>173</v>
      </c>
      <c r="E8" t="s">
        <v>178</v>
      </c>
      <c r="F8" t="s">
        <v>179</v>
      </c>
      <c r="G8">
        <v>1</v>
      </c>
      <c r="H8">
        <v>2503</v>
      </c>
      <c r="I8">
        <v>0</v>
      </c>
      <c r="J8" t="s">
        <v>184</v>
      </c>
      <c r="K8">
        <v>2503</v>
      </c>
      <c r="L8">
        <v>1900.26</v>
      </c>
      <c r="M8">
        <v>602.74</v>
      </c>
      <c r="N8" t="str">
        <f t="shared" si="0"/>
        <v>Jan</v>
      </c>
      <c r="O8">
        <f t="shared" si="1"/>
        <v>1</v>
      </c>
      <c r="P8" s="2">
        <f t="shared" si="2"/>
        <v>0.24080703156212546</v>
      </c>
    </row>
    <row r="9" spans="1:16" x14ac:dyDescent="0.25">
      <c r="A9" t="s">
        <v>20</v>
      </c>
      <c r="B9" s="4">
        <v>46038.9493670886</v>
      </c>
      <c r="C9" t="s">
        <v>100</v>
      </c>
      <c r="D9" t="s">
        <v>173</v>
      </c>
      <c r="E9" t="s">
        <v>178</v>
      </c>
      <c r="F9" t="s">
        <v>180</v>
      </c>
      <c r="G9">
        <v>1</v>
      </c>
      <c r="H9">
        <v>2391</v>
      </c>
      <c r="I9">
        <v>15</v>
      </c>
      <c r="J9" t="s">
        <v>185</v>
      </c>
      <c r="K9">
        <v>2032.35</v>
      </c>
      <c r="L9">
        <v>1426.28</v>
      </c>
      <c r="M9">
        <v>606.07000000000005</v>
      </c>
      <c r="N9" t="str">
        <f t="shared" si="0"/>
        <v>Jan</v>
      </c>
      <c r="O9">
        <f t="shared" si="1"/>
        <v>1</v>
      </c>
      <c r="P9" s="2">
        <f t="shared" si="2"/>
        <v>0.2982114301178439</v>
      </c>
    </row>
    <row r="10" spans="1:16" x14ac:dyDescent="0.25">
      <c r="A10" t="s">
        <v>21</v>
      </c>
      <c r="B10" s="4">
        <v>46041.227848101262</v>
      </c>
      <c r="C10" t="s">
        <v>101</v>
      </c>
      <c r="D10" t="s">
        <v>173</v>
      </c>
      <c r="E10" t="s">
        <v>178</v>
      </c>
      <c r="F10" t="s">
        <v>179</v>
      </c>
      <c r="G10">
        <v>3</v>
      </c>
      <c r="H10">
        <v>2134</v>
      </c>
      <c r="I10">
        <v>0</v>
      </c>
      <c r="J10" t="s">
        <v>184</v>
      </c>
      <c r="K10">
        <v>6402</v>
      </c>
      <c r="L10">
        <v>4191.13</v>
      </c>
      <c r="M10">
        <v>2210.87</v>
      </c>
      <c r="N10" t="str">
        <f t="shared" si="0"/>
        <v>Jan</v>
      </c>
      <c r="O10">
        <f t="shared" si="1"/>
        <v>1</v>
      </c>
      <c r="P10" s="2">
        <f t="shared" si="2"/>
        <v>0.34534051858794124</v>
      </c>
    </row>
    <row r="11" spans="1:16" x14ac:dyDescent="0.25">
      <c r="A11" t="s">
        <v>22</v>
      </c>
      <c r="B11" s="4">
        <v>46043.506329113923</v>
      </c>
      <c r="C11" t="s">
        <v>102</v>
      </c>
      <c r="D11" t="s">
        <v>172</v>
      </c>
      <c r="E11" t="s">
        <v>178</v>
      </c>
      <c r="F11" t="s">
        <v>181</v>
      </c>
      <c r="G11">
        <v>2</v>
      </c>
      <c r="H11">
        <v>2994</v>
      </c>
      <c r="I11">
        <v>15</v>
      </c>
      <c r="J11" t="s">
        <v>183</v>
      </c>
      <c r="K11">
        <v>5089.8</v>
      </c>
      <c r="L11">
        <v>3314.92</v>
      </c>
      <c r="M11">
        <v>1774.88</v>
      </c>
      <c r="N11" t="str">
        <f t="shared" si="0"/>
        <v>Jan</v>
      </c>
      <c r="O11">
        <f t="shared" si="1"/>
        <v>1</v>
      </c>
      <c r="P11" s="2">
        <f t="shared" si="2"/>
        <v>0.34871311249950881</v>
      </c>
    </row>
    <row r="12" spans="1:16" x14ac:dyDescent="0.25">
      <c r="A12" t="s">
        <v>23</v>
      </c>
      <c r="B12" s="4">
        <v>46045.784810126577</v>
      </c>
      <c r="C12" t="s">
        <v>103</v>
      </c>
      <c r="D12" t="s">
        <v>171</v>
      </c>
      <c r="E12" t="s">
        <v>177</v>
      </c>
      <c r="F12" t="s">
        <v>179</v>
      </c>
      <c r="G12">
        <v>5</v>
      </c>
      <c r="H12">
        <v>14200</v>
      </c>
      <c r="I12">
        <v>5</v>
      </c>
      <c r="J12" t="s">
        <v>183</v>
      </c>
      <c r="K12">
        <v>67450</v>
      </c>
      <c r="L12">
        <v>45194.78</v>
      </c>
      <c r="M12">
        <v>22255.22</v>
      </c>
      <c r="N12" t="str">
        <f t="shared" si="0"/>
        <v>Jan</v>
      </c>
      <c r="O12">
        <f t="shared" si="1"/>
        <v>1</v>
      </c>
      <c r="P12" s="2">
        <f t="shared" si="2"/>
        <v>0.329951371386212</v>
      </c>
    </row>
    <row r="13" spans="1:16" x14ac:dyDescent="0.25">
      <c r="A13" t="s">
        <v>24</v>
      </c>
      <c r="B13" s="4">
        <v>46048.063291139239</v>
      </c>
      <c r="C13" t="s">
        <v>104</v>
      </c>
      <c r="D13" t="s">
        <v>173</v>
      </c>
      <c r="E13" t="s">
        <v>178</v>
      </c>
      <c r="F13" t="s">
        <v>181</v>
      </c>
      <c r="G13">
        <v>4</v>
      </c>
      <c r="H13">
        <v>2639</v>
      </c>
      <c r="I13">
        <v>10</v>
      </c>
      <c r="J13" t="s">
        <v>186</v>
      </c>
      <c r="K13">
        <v>9500.4</v>
      </c>
      <c r="L13">
        <v>6933.82</v>
      </c>
      <c r="M13">
        <v>2566.58</v>
      </c>
      <c r="N13" t="str">
        <f t="shared" si="0"/>
        <v>Jan</v>
      </c>
      <c r="O13">
        <f t="shared" si="1"/>
        <v>1</v>
      </c>
      <c r="P13" s="2">
        <f t="shared" si="2"/>
        <v>0.27015494084459601</v>
      </c>
    </row>
    <row r="14" spans="1:16" x14ac:dyDescent="0.25">
      <c r="A14" t="s">
        <v>25</v>
      </c>
      <c r="B14" s="4">
        <v>46050.3417721519</v>
      </c>
      <c r="C14" t="s">
        <v>105</v>
      </c>
      <c r="D14" t="s">
        <v>172</v>
      </c>
      <c r="E14" t="s">
        <v>178</v>
      </c>
      <c r="F14" t="s">
        <v>181</v>
      </c>
      <c r="G14">
        <v>2</v>
      </c>
      <c r="H14">
        <v>2832</v>
      </c>
      <c r="I14">
        <v>0</v>
      </c>
      <c r="J14" t="s">
        <v>185</v>
      </c>
      <c r="K14">
        <v>5664</v>
      </c>
      <c r="L14">
        <v>4321.17</v>
      </c>
      <c r="M14">
        <v>1342.83</v>
      </c>
      <c r="N14" t="str">
        <f t="shared" si="0"/>
        <v>Jan</v>
      </c>
      <c r="O14">
        <f t="shared" si="1"/>
        <v>1</v>
      </c>
      <c r="P14" s="2">
        <f t="shared" si="2"/>
        <v>0.23708156779661016</v>
      </c>
    </row>
    <row r="15" spans="1:16" x14ac:dyDescent="0.25">
      <c r="A15" t="s">
        <v>26</v>
      </c>
      <c r="B15" s="4">
        <v>46052.620253164547</v>
      </c>
      <c r="C15" t="s">
        <v>106</v>
      </c>
      <c r="D15" t="s">
        <v>174</v>
      </c>
      <c r="E15" t="s">
        <v>178</v>
      </c>
      <c r="F15" t="s">
        <v>181</v>
      </c>
      <c r="G15">
        <v>4</v>
      </c>
      <c r="H15">
        <v>1687</v>
      </c>
      <c r="I15">
        <v>15</v>
      </c>
      <c r="J15" t="s">
        <v>186</v>
      </c>
      <c r="K15">
        <v>5735.8</v>
      </c>
      <c r="L15">
        <v>4313.55</v>
      </c>
      <c r="M15">
        <v>1422.25</v>
      </c>
      <c r="N15" t="str">
        <f t="shared" si="0"/>
        <v>Jan</v>
      </c>
      <c r="O15">
        <f t="shared" si="1"/>
        <v>1</v>
      </c>
      <c r="P15" s="2">
        <f t="shared" si="2"/>
        <v>0.24796017992259142</v>
      </c>
    </row>
    <row r="16" spans="1:16" x14ac:dyDescent="0.25">
      <c r="A16" t="s">
        <v>27</v>
      </c>
      <c r="B16" s="4">
        <v>46054.898734177208</v>
      </c>
      <c r="C16" t="s">
        <v>107</v>
      </c>
      <c r="D16" t="s">
        <v>171</v>
      </c>
      <c r="E16" t="s">
        <v>177</v>
      </c>
      <c r="F16" t="s">
        <v>180</v>
      </c>
      <c r="G16">
        <v>3</v>
      </c>
      <c r="H16">
        <v>14259</v>
      </c>
      <c r="I16">
        <v>0</v>
      </c>
      <c r="J16" t="s">
        <v>186</v>
      </c>
      <c r="K16">
        <v>42777</v>
      </c>
      <c r="L16">
        <v>28916.69</v>
      </c>
      <c r="M16">
        <v>13860.31</v>
      </c>
      <c r="N16" t="str">
        <f t="shared" si="0"/>
        <v>Feb</v>
      </c>
      <c r="O16">
        <f t="shared" si="1"/>
        <v>2</v>
      </c>
      <c r="P16" s="2">
        <f t="shared" si="2"/>
        <v>0.32401313790120856</v>
      </c>
    </row>
    <row r="17" spans="1:16" x14ac:dyDescent="0.25">
      <c r="A17" t="s">
        <v>28</v>
      </c>
      <c r="B17" s="4">
        <v>46057.177215189869</v>
      </c>
      <c r="C17" t="s">
        <v>192</v>
      </c>
      <c r="D17" t="s">
        <v>174</v>
      </c>
      <c r="E17" t="s">
        <v>178</v>
      </c>
      <c r="F17" t="s">
        <v>180</v>
      </c>
      <c r="G17">
        <v>3</v>
      </c>
      <c r="H17">
        <v>1469</v>
      </c>
      <c r="I17">
        <v>15</v>
      </c>
      <c r="J17" t="s">
        <v>184</v>
      </c>
      <c r="K17">
        <v>3745.95</v>
      </c>
      <c r="L17">
        <v>3037.86</v>
      </c>
      <c r="M17">
        <v>708.09</v>
      </c>
      <c r="N17" t="str">
        <f t="shared" si="0"/>
        <v>Feb</v>
      </c>
      <c r="O17">
        <f t="shared" si="1"/>
        <v>2</v>
      </c>
      <c r="P17" s="2">
        <f t="shared" si="2"/>
        <v>0.18902815040243465</v>
      </c>
    </row>
    <row r="18" spans="1:16" x14ac:dyDescent="0.25">
      <c r="A18" t="s">
        <v>29</v>
      </c>
      <c r="B18" s="4">
        <v>46059.455696202524</v>
      </c>
      <c r="C18" t="s">
        <v>108</v>
      </c>
      <c r="D18" t="s">
        <v>171</v>
      </c>
      <c r="E18" t="s">
        <v>177</v>
      </c>
      <c r="F18" t="s">
        <v>180</v>
      </c>
      <c r="G18">
        <v>1</v>
      </c>
      <c r="H18">
        <v>14174</v>
      </c>
      <c r="I18">
        <v>0</v>
      </c>
      <c r="J18" t="s">
        <v>186</v>
      </c>
      <c r="K18">
        <v>14174</v>
      </c>
      <c r="L18">
        <v>10879.67</v>
      </c>
      <c r="M18">
        <v>3294.33</v>
      </c>
      <c r="N18" t="str">
        <f t="shared" si="0"/>
        <v>Feb</v>
      </c>
      <c r="O18">
        <f t="shared" si="1"/>
        <v>2</v>
      </c>
      <c r="P18" s="2">
        <f t="shared" si="2"/>
        <v>0.23242062932129251</v>
      </c>
    </row>
    <row r="19" spans="1:16" x14ac:dyDescent="0.25">
      <c r="A19" t="s">
        <v>30</v>
      </c>
      <c r="B19" s="4">
        <v>46061.734177215178</v>
      </c>
      <c r="C19" t="s">
        <v>109</v>
      </c>
      <c r="D19" t="s">
        <v>172</v>
      </c>
      <c r="E19" t="s">
        <v>178</v>
      </c>
      <c r="F19" t="s">
        <v>179</v>
      </c>
      <c r="G19">
        <v>5</v>
      </c>
      <c r="H19">
        <v>2821</v>
      </c>
      <c r="I19">
        <v>15</v>
      </c>
      <c r="J19" t="s">
        <v>184</v>
      </c>
      <c r="K19">
        <v>11989.25</v>
      </c>
      <c r="L19">
        <v>8762.59</v>
      </c>
      <c r="M19">
        <v>3226.66</v>
      </c>
      <c r="N19" t="str">
        <f t="shared" si="0"/>
        <v>Feb</v>
      </c>
      <c r="O19">
        <f t="shared" si="1"/>
        <v>2</v>
      </c>
      <c r="P19" s="2">
        <f t="shared" si="2"/>
        <v>0.26912942844631649</v>
      </c>
    </row>
    <row r="20" spans="1:16" x14ac:dyDescent="0.25">
      <c r="A20" t="s">
        <v>31</v>
      </c>
      <c r="B20" s="4">
        <v>46064.012658227854</v>
      </c>
      <c r="C20" t="s">
        <v>110</v>
      </c>
      <c r="D20" t="s">
        <v>175</v>
      </c>
      <c r="E20" t="s">
        <v>177</v>
      </c>
      <c r="F20" t="s">
        <v>181</v>
      </c>
      <c r="G20">
        <v>4</v>
      </c>
      <c r="H20">
        <v>55469</v>
      </c>
      <c r="I20">
        <v>15</v>
      </c>
      <c r="J20" t="s">
        <v>184</v>
      </c>
      <c r="K20">
        <v>188594.6</v>
      </c>
      <c r="L20">
        <v>140002.1</v>
      </c>
      <c r="M20">
        <v>48592.5</v>
      </c>
      <c r="N20" t="str">
        <f t="shared" si="0"/>
        <v>Feb</v>
      </c>
      <c r="O20">
        <f t="shared" si="1"/>
        <v>2</v>
      </c>
      <c r="P20" s="2">
        <f t="shared" si="2"/>
        <v>0.25765583956274463</v>
      </c>
    </row>
    <row r="21" spans="1:16" x14ac:dyDescent="0.25">
      <c r="A21" t="s">
        <v>32</v>
      </c>
      <c r="B21" s="4">
        <v>46066.2911392405</v>
      </c>
      <c r="C21" t="s">
        <v>111</v>
      </c>
      <c r="D21" t="s">
        <v>171</v>
      </c>
      <c r="E21" t="s">
        <v>177</v>
      </c>
      <c r="F21" t="s">
        <v>180</v>
      </c>
      <c r="G21">
        <v>2</v>
      </c>
      <c r="H21">
        <v>13837</v>
      </c>
      <c r="I21">
        <v>5</v>
      </c>
      <c r="J21" t="s">
        <v>186</v>
      </c>
      <c r="K21">
        <v>26290.3</v>
      </c>
      <c r="L21">
        <v>18506.27</v>
      </c>
      <c r="M21">
        <v>7784.03</v>
      </c>
      <c r="N21" t="str">
        <f t="shared" si="0"/>
        <v>Feb</v>
      </c>
      <c r="O21">
        <f t="shared" si="1"/>
        <v>2</v>
      </c>
      <c r="P21" s="2">
        <f t="shared" si="2"/>
        <v>0.29607992301343083</v>
      </c>
    </row>
    <row r="22" spans="1:16" x14ac:dyDescent="0.25">
      <c r="A22" t="s">
        <v>33</v>
      </c>
      <c r="B22" s="4">
        <v>46068.569620253162</v>
      </c>
      <c r="C22" t="s">
        <v>112</v>
      </c>
      <c r="D22" t="s">
        <v>174</v>
      </c>
      <c r="E22" t="s">
        <v>178</v>
      </c>
      <c r="F22" t="s">
        <v>180</v>
      </c>
      <c r="G22">
        <v>3</v>
      </c>
      <c r="H22">
        <v>1229</v>
      </c>
      <c r="I22">
        <v>15</v>
      </c>
      <c r="J22" t="s">
        <v>185</v>
      </c>
      <c r="K22">
        <v>3133.95</v>
      </c>
      <c r="L22">
        <v>2098.3200000000002</v>
      </c>
      <c r="M22">
        <v>1035.6300000000001</v>
      </c>
      <c r="N22" t="str">
        <f t="shared" si="0"/>
        <v>Feb</v>
      </c>
      <c r="O22">
        <f t="shared" si="1"/>
        <v>2</v>
      </c>
      <c r="P22" s="2">
        <f t="shared" si="2"/>
        <v>0.33045517637486244</v>
      </c>
    </row>
    <row r="23" spans="1:16" x14ac:dyDescent="0.25">
      <c r="A23" t="s">
        <v>34</v>
      </c>
      <c r="B23" s="4">
        <v>46070.848101265823</v>
      </c>
      <c r="C23" t="s">
        <v>113</v>
      </c>
      <c r="D23" t="s">
        <v>172</v>
      </c>
      <c r="E23" t="s">
        <v>178</v>
      </c>
      <c r="F23" t="s">
        <v>179</v>
      </c>
      <c r="G23">
        <v>1</v>
      </c>
      <c r="H23">
        <v>3164</v>
      </c>
      <c r="I23">
        <v>5</v>
      </c>
      <c r="J23" t="s">
        <v>185</v>
      </c>
      <c r="K23">
        <v>3005.8</v>
      </c>
      <c r="L23">
        <v>2077.59</v>
      </c>
      <c r="M23">
        <v>928.21</v>
      </c>
      <c r="N23" t="str">
        <f t="shared" si="0"/>
        <v>Feb</v>
      </c>
      <c r="O23">
        <f t="shared" si="1"/>
        <v>2</v>
      </c>
      <c r="P23" s="2">
        <f t="shared" si="2"/>
        <v>0.30880630780491047</v>
      </c>
    </row>
    <row r="24" spans="1:16" x14ac:dyDescent="0.25">
      <c r="A24" t="s">
        <v>35</v>
      </c>
      <c r="B24" s="4">
        <v>46073.12658227847</v>
      </c>
      <c r="C24" t="s">
        <v>114</v>
      </c>
      <c r="D24" t="s">
        <v>176</v>
      </c>
      <c r="E24" t="s">
        <v>177</v>
      </c>
      <c r="F24" t="s">
        <v>180</v>
      </c>
      <c r="G24">
        <v>1</v>
      </c>
      <c r="H24">
        <v>14362</v>
      </c>
      <c r="I24">
        <v>15</v>
      </c>
      <c r="J24" t="s">
        <v>185</v>
      </c>
      <c r="K24">
        <v>12207.7</v>
      </c>
      <c r="L24">
        <v>9419.09</v>
      </c>
      <c r="M24">
        <v>2788.61</v>
      </c>
      <c r="N24" t="str">
        <f t="shared" si="0"/>
        <v>Feb</v>
      </c>
      <c r="O24">
        <f t="shared" si="1"/>
        <v>2</v>
      </c>
      <c r="P24" s="2">
        <f t="shared" si="2"/>
        <v>0.2284304168680423</v>
      </c>
    </row>
    <row r="25" spans="1:16" x14ac:dyDescent="0.25">
      <c r="A25" t="s">
        <v>36</v>
      </c>
      <c r="B25" s="4">
        <v>46075.405063291131</v>
      </c>
      <c r="C25" t="s">
        <v>115</v>
      </c>
      <c r="D25" t="s">
        <v>175</v>
      </c>
      <c r="E25" t="s">
        <v>177</v>
      </c>
      <c r="F25" t="s">
        <v>179</v>
      </c>
      <c r="G25">
        <v>4</v>
      </c>
      <c r="H25">
        <v>55237</v>
      </c>
      <c r="I25">
        <v>10</v>
      </c>
      <c r="J25" t="s">
        <v>185</v>
      </c>
      <c r="K25">
        <v>198853.2</v>
      </c>
      <c r="L25">
        <v>123861.42</v>
      </c>
      <c r="M25">
        <v>74991.78</v>
      </c>
      <c r="N25" t="str">
        <f t="shared" si="0"/>
        <v>Feb</v>
      </c>
      <c r="O25">
        <f t="shared" si="1"/>
        <v>2</v>
      </c>
      <c r="P25" s="2">
        <f t="shared" si="2"/>
        <v>0.37712131361225265</v>
      </c>
    </row>
    <row r="26" spans="1:16" x14ac:dyDescent="0.25">
      <c r="A26" t="s">
        <v>37</v>
      </c>
      <c r="B26" s="4">
        <v>46077.6835443038</v>
      </c>
      <c r="C26" t="s">
        <v>116</v>
      </c>
      <c r="D26" t="s">
        <v>175</v>
      </c>
      <c r="E26" t="s">
        <v>177</v>
      </c>
      <c r="F26" t="s">
        <v>182</v>
      </c>
      <c r="G26">
        <v>3</v>
      </c>
      <c r="H26">
        <v>55082</v>
      </c>
      <c r="I26">
        <v>10</v>
      </c>
      <c r="J26" t="s">
        <v>185</v>
      </c>
      <c r="K26">
        <v>148721.4</v>
      </c>
      <c r="L26">
        <v>95659.77</v>
      </c>
      <c r="M26">
        <v>53061.63</v>
      </c>
      <c r="N26" t="str">
        <f t="shared" si="0"/>
        <v>Feb</v>
      </c>
      <c r="O26">
        <f t="shared" si="1"/>
        <v>2</v>
      </c>
      <c r="P26" s="2">
        <f t="shared" si="2"/>
        <v>0.3567854390827413</v>
      </c>
    </row>
    <row r="27" spans="1:16" x14ac:dyDescent="0.25">
      <c r="A27" t="s">
        <v>38</v>
      </c>
      <c r="B27" s="4">
        <v>46079.962025316447</v>
      </c>
      <c r="C27" t="s">
        <v>117</v>
      </c>
      <c r="D27" t="s">
        <v>173</v>
      </c>
      <c r="E27" t="s">
        <v>178</v>
      </c>
      <c r="F27" t="s">
        <v>180</v>
      </c>
      <c r="G27">
        <v>5</v>
      </c>
      <c r="H27">
        <v>2026</v>
      </c>
      <c r="I27">
        <v>10</v>
      </c>
      <c r="J27" t="s">
        <v>186</v>
      </c>
      <c r="K27">
        <v>9117</v>
      </c>
      <c r="L27">
        <v>5736.42</v>
      </c>
      <c r="M27">
        <v>3380.58</v>
      </c>
      <c r="N27" t="str">
        <f t="shared" si="0"/>
        <v>Feb</v>
      </c>
      <c r="O27">
        <f t="shared" si="1"/>
        <v>2</v>
      </c>
      <c r="P27" s="2">
        <f t="shared" si="2"/>
        <v>0.37079960513326754</v>
      </c>
    </row>
    <row r="28" spans="1:16" x14ac:dyDescent="0.25">
      <c r="A28" t="s">
        <v>39</v>
      </c>
      <c r="B28" s="4">
        <v>46082.240506329108</v>
      </c>
      <c r="C28" t="s">
        <v>118</v>
      </c>
      <c r="D28" t="s">
        <v>173</v>
      </c>
      <c r="E28" t="s">
        <v>178</v>
      </c>
      <c r="F28" t="s">
        <v>182</v>
      </c>
      <c r="G28">
        <v>3</v>
      </c>
      <c r="H28">
        <v>2225</v>
      </c>
      <c r="I28">
        <v>15</v>
      </c>
      <c r="J28" t="s">
        <v>186</v>
      </c>
      <c r="K28">
        <v>5673.75</v>
      </c>
      <c r="L28">
        <v>3563.94</v>
      </c>
      <c r="M28">
        <v>2109.81</v>
      </c>
      <c r="N28" t="str">
        <f t="shared" si="0"/>
        <v>Mar</v>
      </c>
      <c r="O28">
        <f t="shared" si="1"/>
        <v>3</v>
      </c>
      <c r="P28" s="2">
        <f t="shared" si="2"/>
        <v>0.37185459352280237</v>
      </c>
    </row>
    <row r="29" spans="1:16" x14ac:dyDescent="0.25">
      <c r="A29" t="s">
        <v>40</v>
      </c>
      <c r="B29" s="4">
        <v>46084.518987341769</v>
      </c>
      <c r="C29" t="s">
        <v>119</v>
      </c>
      <c r="D29" t="s">
        <v>174</v>
      </c>
      <c r="E29" t="s">
        <v>178</v>
      </c>
      <c r="F29" t="s">
        <v>179</v>
      </c>
      <c r="G29">
        <v>4</v>
      </c>
      <c r="H29">
        <v>1276</v>
      </c>
      <c r="I29">
        <v>5</v>
      </c>
      <c r="J29" t="s">
        <v>183</v>
      </c>
      <c r="K29">
        <v>4848.8</v>
      </c>
      <c r="L29">
        <v>3835.85</v>
      </c>
      <c r="M29">
        <v>1012.95</v>
      </c>
      <c r="N29" t="str">
        <f t="shared" si="0"/>
        <v>Mar</v>
      </c>
      <c r="O29">
        <f t="shared" si="1"/>
        <v>3</v>
      </c>
      <c r="P29" s="2">
        <f t="shared" si="2"/>
        <v>0.20890735852169609</v>
      </c>
    </row>
    <row r="30" spans="1:16" x14ac:dyDescent="0.25">
      <c r="A30" t="s">
        <v>41</v>
      </c>
      <c r="B30" s="4">
        <v>46086.797468354423</v>
      </c>
      <c r="C30" t="s">
        <v>120</v>
      </c>
      <c r="D30" t="s">
        <v>171</v>
      </c>
      <c r="E30" t="s">
        <v>177</v>
      </c>
      <c r="F30" t="s">
        <v>181</v>
      </c>
      <c r="G30">
        <v>4</v>
      </c>
      <c r="H30">
        <v>14408</v>
      </c>
      <c r="I30">
        <v>5</v>
      </c>
      <c r="J30" t="s">
        <v>185</v>
      </c>
      <c r="K30">
        <v>54750.400000000001</v>
      </c>
      <c r="L30">
        <v>41650.36</v>
      </c>
      <c r="M30">
        <v>13100.04</v>
      </c>
      <c r="N30" t="str">
        <f t="shared" si="0"/>
        <v>Mar</v>
      </c>
      <c r="O30">
        <f t="shared" si="1"/>
        <v>3</v>
      </c>
      <c r="P30" s="2">
        <f t="shared" si="2"/>
        <v>0.23926838890674773</v>
      </c>
    </row>
    <row r="31" spans="1:16" x14ac:dyDescent="0.25">
      <c r="A31" t="s">
        <v>42</v>
      </c>
      <c r="B31" s="4">
        <v>46089.075949367078</v>
      </c>
      <c r="C31" t="s">
        <v>121</v>
      </c>
      <c r="D31" t="s">
        <v>171</v>
      </c>
      <c r="E31" t="s">
        <v>177</v>
      </c>
      <c r="F31" t="s">
        <v>180</v>
      </c>
      <c r="G31">
        <v>3</v>
      </c>
      <c r="H31">
        <v>14083</v>
      </c>
      <c r="I31">
        <v>15</v>
      </c>
      <c r="J31" t="s">
        <v>186</v>
      </c>
      <c r="K31">
        <v>35911.65</v>
      </c>
      <c r="L31">
        <v>25670.9</v>
      </c>
      <c r="M31">
        <v>10240.75</v>
      </c>
      <c r="N31" t="str">
        <f t="shared" si="0"/>
        <v>Mar</v>
      </c>
      <c r="O31">
        <f t="shared" si="1"/>
        <v>3</v>
      </c>
      <c r="P31" s="2">
        <f t="shared" si="2"/>
        <v>0.28516512051103193</v>
      </c>
    </row>
    <row r="32" spans="1:16" x14ac:dyDescent="0.25">
      <c r="A32" t="s">
        <v>43</v>
      </c>
      <c r="B32" s="4">
        <v>46091.354430379753</v>
      </c>
      <c r="C32" t="s">
        <v>122</v>
      </c>
      <c r="D32" t="s">
        <v>173</v>
      </c>
      <c r="E32" t="s">
        <v>178</v>
      </c>
      <c r="F32" t="s">
        <v>179</v>
      </c>
      <c r="G32">
        <v>4</v>
      </c>
      <c r="H32">
        <v>2480</v>
      </c>
      <c r="I32">
        <v>10</v>
      </c>
      <c r="J32" t="s">
        <v>183</v>
      </c>
      <c r="K32">
        <v>8928</v>
      </c>
      <c r="L32">
        <v>5710.05</v>
      </c>
      <c r="M32">
        <v>3217.95</v>
      </c>
      <c r="N32" t="str">
        <f t="shared" si="0"/>
        <v>Mar</v>
      </c>
      <c r="O32">
        <f t="shared" si="1"/>
        <v>3</v>
      </c>
      <c r="P32" s="2">
        <f t="shared" si="2"/>
        <v>0.36043346774193546</v>
      </c>
    </row>
    <row r="33" spans="1:16" x14ac:dyDescent="0.25">
      <c r="A33" t="s">
        <v>44</v>
      </c>
      <c r="B33" s="4">
        <v>46093.632911392393</v>
      </c>
      <c r="C33" t="s">
        <v>123</v>
      </c>
      <c r="D33" t="s">
        <v>171</v>
      </c>
      <c r="E33" t="s">
        <v>177</v>
      </c>
      <c r="F33" t="s">
        <v>181</v>
      </c>
      <c r="G33">
        <v>3</v>
      </c>
      <c r="H33">
        <v>14252</v>
      </c>
      <c r="I33">
        <v>0</v>
      </c>
      <c r="J33" t="s">
        <v>185</v>
      </c>
      <c r="K33">
        <v>38480.400000000001</v>
      </c>
      <c r="L33">
        <v>27641.360000000001</v>
      </c>
      <c r="M33">
        <v>10839.04</v>
      </c>
      <c r="N33" t="str">
        <f t="shared" si="0"/>
        <v>Mar</v>
      </c>
      <c r="O33">
        <f t="shared" si="1"/>
        <v>3</v>
      </c>
      <c r="P33" s="2">
        <f t="shared" si="2"/>
        <v>0.28167690564547149</v>
      </c>
    </row>
    <row r="34" spans="1:16" x14ac:dyDescent="0.25">
      <c r="A34" t="s">
        <v>45</v>
      </c>
      <c r="B34" s="4">
        <v>46095.911392405047</v>
      </c>
      <c r="C34" t="s">
        <v>124</v>
      </c>
      <c r="D34" t="s">
        <v>171</v>
      </c>
      <c r="E34" t="s">
        <v>177</v>
      </c>
      <c r="F34" t="s">
        <v>181</v>
      </c>
      <c r="G34">
        <v>2</v>
      </c>
      <c r="H34">
        <v>14458</v>
      </c>
      <c r="I34">
        <v>5</v>
      </c>
      <c r="J34" t="s">
        <v>184</v>
      </c>
      <c r="K34">
        <v>27470.2</v>
      </c>
      <c r="L34">
        <v>19632.8</v>
      </c>
      <c r="M34">
        <v>7837.4</v>
      </c>
      <c r="N34" t="str">
        <f t="shared" si="0"/>
        <v>Mar</v>
      </c>
      <c r="O34">
        <f t="shared" si="1"/>
        <v>3</v>
      </c>
      <c r="P34" s="2">
        <f t="shared" si="2"/>
        <v>0.28530553108459344</v>
      </c>
    </row>
    <row r="35" spans="1:16" x14ac:dyDescent="0.25">
      <c r="A35" t="s">
        <v>46</v>
      </c>
      <c r="B35" s="4">
        <v>46098.189873417723</v>
      </c>
      <c r="C35" t="s">
        <v>125</v>
      </c>
      <c r="D35" t="s">
        <v>175</v>
      </c>
      <c r="E35" t="s">
        <v>177</v>
      </c>
      <c r="F35" t="s">
        <v>182</v>
      </c>
      <c r="G35">
        <v>3</v>
      </c>
      <c r="H35">
        <v>55315</v>
      </c>
      <c r="I35">
        <v>10</v>
      </c>
      <c r="J35" t="s">
        <v>183</v>
      </c>
      <c r="K35">
        <v>149350.5</v>
      </c>
      <c r="L35">
        <v>97770.87</v>
      </c>
      <c r="M35">
        <v>51579.63</v>
      </c>
      <c r="N35" t="str">
        <f t="shared" si="0"/>
        <v>Mar</v>
      </c>
      <c r="O35">
        <f t="shared" si="1"/>
        <v>3</v>
      </c>
      <c r="P35" s="2">
        <f t="shared" si="2"/>
        <v>0.34535960709873753</v>
      </c>
    </row>
    <row r="36" spans="1:16" x14ac:dyDescent="0.25">
      <c r="A36" t="s">
        <v>47</v>
      </c>
      <c r="B36" s="4">
        <v>46100.46835443037</v>
      </c>
      <c r="C36" t="s">
        <v>126</v>
      </c>
      <c r="D36" t="s">
        <v>173</v>
      </c>
      <c r="E36" t="s">
        <v>178</v>
      </c>
      <c r="F36" t="s">
        <v>179</v>
      </c>
      <c r="G36">
        <v>3</v>
      </c>
      <c r="H36">
        <v>2546</v>
      </c>
      <c r="I36">
        <v>0</v>
      </c>
      <c r="J36" t="s">
        <v>186</v>
      </c>
      <c r="K36">
        <v>7638</v>
      </c>
      <c r="L36">
        <v>5398.31</v>
      </c>
      <c r="M36">
        <v>2239.69</v>
      </c>
      <c r="N36" t="str">
        <f t="shared" si="0"/>
        <v>Mar</v>
      </c>
      <c r="O36">
        <f t="shared" si="1"/>
        <v>3</v>
      </c>
      <c r="P36" s="2">
        <f t="shared" si="2"/>
        <v>0.29322990311599895</v>
      </c>
    </row>
    <row r="37" spans="1:16" x14ac:dyDescent="0.25">
      <c r="A37" t="s">
        <v>48</v>
      </c>
      <c r="B37" s="4">
        <v>46102.746835443031</v>
      </c>
      <c r="C37" t="s">
        <v>127</v>
      </c>
      <c r="D37" t="s">
        <v>172</v>
      </c>
      <c r="E37" t="s">
        <v>178</v>
      </c>
      <c r="F37" t="s">
        <v>181</v>
      </c>
      <c r="G37">
        <v>4</v>
      </c>
      <c r="H37">
        <v>2991</v>
      </c>
      <c r="I37">
        <v>5</v>
      </c>
      <c r="J37" t="s">
        <v>184</v>
      </c>
      <c r="K37">
        <v>11365.8</v>
      </c>
      <c r="L37">
        <v>7952.66</v>
      </c>
      <c r="M37">
        <v>3413.14</v>
      </c>
      <c r="N37" t="str">
        <f t="shared" si="0"/>
        <v>Mar</v>
      </c>
      <c r="O37">
        <f t="shared" si="1"/>
        <v>3</v>
      </c>
      <c r="P37" s="2">
        <f t="shared" si="2"/>
        <v>0.30029914304316457</v>
      </c>
    </row>
    <row r="38" spans="1:16" x14ac:dyDescent="0.25">
      <c r="A38" t="s">
        <v>49</v>
      </c>
      <c r="B38" s="4">
        <v>46105.025316455693</v>
      </c>
      <c r="C38" t="s">
        <v>128</v>
      </c>
      <c r="D38" t="s">
        <v>173</v>
      </c>
      <c r="E38" t="s">
        <v>178</v>
      </c>
      <c r="F38" t="s">
        <v>180</v>
      </c>
      <c r="G38">
        <v>4</v>
      </c>
      <c r="H38">
        <v>2048</v>
      </c>
      <c r="I38">
        <v>10</v>
      </c>
      <c r="J38" t="s">
        <v>184</v>
      </c>
      <c r="K38">
        <v>7372.8</v>
      </c>
      <c r="L38">
        <v>5479.24</v>
      </c>
      <c r="M38">
        <v>1893.56</v>
      </c>
      <c r="N38" t="str">
        <f t="shared" si="0"/>
        <v>Mar</v>
      </c>
      <c r="O38">
        <f t="shared" si="1"/>
        <v>3</v>
      </c>
      <c r="P38" s="2">
        <f t="shared" si="2"/>
        <v>0.25683051215277775</v>
      </c>
    </row>
    <row r="39" spans="1:16" x14ac:dyDescent="0.25">
      <c r="A39" t="s">
        <v>50</v>
      </c>
      <c r="B39" s="4">
        <v>46107.303797468347</v>
      </c>
      <c r="C39" t="s">
        <v>129</v>
      </c>
      <c r="D39" t="s">
        <v>172</v>
      </c>
      <c r="E39" t="s">
        <v>178</v>
      </c>
      <c r="F39" t="s">
        <v>180</v>
      </c>
      <c r="G39">
        <v>1</v>
      </c>
      <c r="H39">
        <v>3311</v>
      </c>
      <c r="I39">
        <v>5</v>
      </c>
      <c r="J39" t="s">
        <v>184</v>
      </c>
      <c r="K39">
        <v>3145.45</v>
      </c>
      <c r="L39">
        <v>2349.71</v>
      </c>
      <c r="M39">
        <v>795.74</v>
      </c>
      <c r="N39" t="str">
        <f t="shared" si="0"/>
        <v>Mar</v>
      </c>
      <c r="O39">
        <f t="shared" si="1"/>
        <v>3</v>
      </c>
      <c r="P39" s="2">
        <f t="shared" si="2"/>
        <v>0.2529812904353908</v>
      </c>
    </row>
    <row r="40" spans="1:16" x14ac:dyDescent="0.25">
      <c r="A40" t="s">
        <v>51</v>
      </c>
      <c r="B40" s="4">
        <v>46109.582278481008</v>
      </c>
      <c r="C40" t="s">
        <v>130</v>
      </c>
      <c r="D40" t="s">
        <v>175</v>
      </c>
      <c r="E40" t="s">
        <v>177</v>
      </c>
      <c r="F40" t="s">
        <v>182</v>
      </c>
      <c r="G40">
        <v>1</v>
      </c>
      <c r="H40">
        <v>54816</v>
      </c>
      <c r="I40">
        <v>0</v>
      </c>
      <c r="J40" t="s">
        <v>183</v>
      </c>
      <c r="K40">
        <v>54816</v>
      </c>
      <c r="L40">
        <v>34482.6</v>
      </c>
      <c r="M40">
        <v>20333.400000000001</v>
      </c>
      <c r="N40" t="str">
        <f t="shared" si="0"/>
        <v>Mar</v>
      </c>
      <c r="O40">
        <f t="shared" si="1"/>
        <v>3</v>
      </c>
      <c r="P40" s="2">
        <f t="shared" si="2"/>
        <v>0.37093914185639232</v>
      </c>
    </row>
    <row r="41" spans="1:16" x14ac:dyDescent="0.25">
      <c r="A41" t="s">
        <v>52</v>
      </c>
      <c r="B41" s="4">
        <v>46111.860759493669</v>
      </c>
      <c r="C41" t="s">
        <v>131</v>
      </c>
      <c r="D41" t="s">
        <v>174</v>
      </c>
      <c r="E41" t="s">
        <v>178</v>
      </c>
      <c r="F41" t="s">
        <v>181</v>
      </c>
      <c r="G41">
        <v>2</v>
      </c>
      <c r="H41">
        <v>1171</v>
      </c>
      <c r="I41">
        <v>5</v>
      </c>
      <c r="J41" t="s">
        <v>186</v>
      </c>
      <c r="K41">
        <v>2224.9</v>
      </c>
      <c r="L41">
        <v>1546.13</v>
      </c>
      <c r="M41">
        <v>678.77</v>
      </c>
      <c r="N41" t="str">
        <f t="shared" si="0"/>
        <v>Mar</v>
      </c>
      <c r="O41">
        <f t="shared" si="1"/>
        <v>3</v>
      </c>
      <c r="P41" s="2">
        <f t="shared" si="2"/>
        <v>0.30507887994966065</v>
      </c>
    </row>
    <row r="42" spans="1:16" x14ac:dyDescent="0.25">
      <c r="A42" t="s">
        <v>53</v>
      </c>
      <c r="B42" s="4">
        <v>46114.139240506323</v>
      </c>
      <c r="C42" t="s">
        <v>132</v>
      </c>
      <c r="D42" t="s">
        <v>171</v>
      </c>
      <c r="E42" t="s">
        <v>177</v>
      </c>
      <c r="F42" t="s">
        <v>179</v>
      </c>
      <c r="G42">
        <v>1</v>
      </c>
      <c r="H42">
        <v>14019</v>
      </c>
      <c r="I42">
        <v>5</v>
      </c>
      <c r="J42" t="s">
        <v>184</v>
      </c>
      <c r="K42">
        <v>13318.05</v>
      </c>
      <c r="L42">
        <v>9924.24</v>
      </c>
      <c r="M42">
        <v>3393.81</v>
      </c>
      <c r="N42" t="str">
        <f t="shared" si="0"/>
        <v>Apr</v>
      </c>
      <c r="O42">
        <f t="shared" si="1"/>
        <v>4</v>
      </c>
      <c r="P42" s="2">
        <f t="shared" si="2"/>
        <v>0.25482784641895773</v>
      </c>
    </row>
    <row r="43" spans="1:16" x14ac:dyDescent="0.25">
      <c r="A43" t="s">
        <v>54</v>
      </c>
      <c r="B43" s="4">
        <v>46116.417721518977</v>
      </c>
      <c r="C43" t="s">
        <v>133</v>
      </c>
      <c r="D43" t="s">
        <v>175</v>
      </c>
      <c r="E43" t="s">
        <v>177</v>
      </c>
      <c r="F43" t="s">
        <v>180</v>
      </c>
      <c r="G43">
        <v>3</v>
      </c>
      <c r="H43">
        <v>54957</v>
      </c>
      <c r="I43">
        <v>5</v>
      </c>
      <c r="J43" t="s">
        <v>185</v>
      </c>
      <c r="K43">
        <v>156627.45000000001</v>
      </c>
      <c r="L43">
        <v>112870.01</v>
      </c>
      <c r="M43">
        <v>43757.440000000002</v>
      </c>
      <c r="N43" t="str">
        <f t="shared" si="0"/>
        <v>Apr</v>
      </c>
      <c r="O43">
        <f t="shared" si="1"/>
        <v>4</v>
      </c>
      <c r="P43" s="2">
        <f t="shared" si="2"/>
        <v>0.27937274085736569</v>
      </c>
    </row>
    <row r="44" spans="1:16" x14ac:dyDescent="0.25">
      <c r="A44" t="s">
        <v>55</v>
      </c>
      <c r="B44" s="4">
        <v>46118.696202531653</v>
      </c>
      <c r="C44" t="s">
        <v>134</v>
      </c>
      <c r="D44" t="s">
        <v>171</v>
      </c>
      <c r="E44" t="s">
        <v>177</v>
      </c>
      <c r="F44" t="s">
        <v>181</v>
      </c>
      <c r="G44">
        <v>4</v>
      </c>
      <c r="H44">
        <v>14276</v>
      </c>
      <c r="I44">
        <v>5</v>
      </c>
      <c r="J44" t="s">
        <v>184</v>
      </c>
      <c r="K44">
        <v>54248.800000000003</v>
      </c>
      <c r="L44">
        <v>42926.97</v>
      </c>
      <c r="M44">
        <v>11321.83</v>
      </c>
      <c r="N44" t="str">
        <f t="shared" si="0"/>
        <v>Apr</v>
      </c>
      <c r="O44">
        <f t="shared" si="1"/>
        <v>4</v>
      </c>
      <c r="P44" s="2">
        <f t="shared" si="2"/>
        <v>0.20870194363746294</v>
      </c>
    </row>
    <row r="45" spans="1:16" x14ac:dyDescent="0.25">
      <c r="A45" t="s">
        <v>56</v>
      </c>
      <c r="B45" s="4">
        <v>46120.974683544293</v>
      </c>
      <c r="C45" t="s">
        <v>135</v>
      </c>
      <c r="D45" t="s">
        <v>174</v>
      </c>
      <c r="E45" t="s">
        <v>178</v>
      </c>
      <c r="F45" t="s">
        <v>181</v>
      </c>
      <c r="G45">
        <v>1</v>
      </c>
      <c r="H45">
        <v>1045</v>
      </c>
      <c r="I45">
        <v>0</v>
      </c>
      <c r="J45" t="s">
        <v>184</v>
      </c>
      <c r="K45">
        <v>1045</v>
      </c>
      <c r="L45">
        <v>785.57</v>
      </c>
      <c r="M45">
        <v>259.43</v>
      </c>
      <c r="N45" t="str">
        <f t="shared" si="0"/>
        <v>Apr</v>
      </c>
      <c r="O45">
        <f t="shared" si="1"/>
        <v>4</v>
      </c>
      <c r="P45" s="2">
        <f t="shared" si="2"/>
        <v>0.24825837320574162</v>
      </c>
    </row>
    <row r="46" spans="1:16" x14ac:dyDescent="0.25">
      <c r="A46" t="s">
        <v>57</v>
      </c>
      <c r="B46" s="4">
        <v>46123.253164556947</v>
      </c>
      <c r="C46" t="s">
        <v>136</v>
      </c>
      <c r="D46" t="s">
        <v>174</v>
      </c>
      <c r="E46" t="s">
        <v>178</v>
      </c>
      <c r="F46" t="s">
        <v>190</v>
      </c>
      <c r="G46">
        <v>1</v>
      </c>
      <c r="H46">
        <v>1372</v>
      </c>
      <c r="I46">
        <v>15</v>
      </c>
      <c r="J46" t="s">
        <v>183</v>
      </c>
      <c r="K46">
        <v>1166.2</v>
      </c>
      <c r="L46">
        <v>761.05</v>
      </c>
      <c r="M46">
        <v>405.15</v>
      </c>
      <c r="N46" t="str">
        <f t="shared" si="0"/>
        <v>Apr</v>
      </c>
      <c r="O46">
        <f t="shared" si="1"/>
        <v>4</v>
      </c>
      <c r="P46" s="2">
        <f t="shared" si="2"/>
        <v>0.34741039272851992</v>
      </c>
    </row>
    <row r="47" spans="1:16" x14ac:dyDescent="0.25">
      <c r="A47" t="s">
        <v>58</v>
      </c>
      <c r="B47" s="4">
        <v>46125.531645569623</v>
      </c>
      <c r="C47" t="s">
        <v>137</v>
      </c>
      <c r="D47" t="s">
        <v>175</v>
      </c>
      <c r="E47" t="s">
        <v>177</v>
      </c>
      <c r="F47" t="s">
        <v>180</v>
      </c>
      <c r="G47">
        <v>2</v>
      </c>
      <c r="H47">
        <v>55317</v>
      </c>
      <c r="I47">
        <v>5</v>
      </c>
      <c r="J47" t="s">
        <v>183</v>
      </c>
      <c r="K47">
        <v>105102.3</v>
      </c>
      <c r="L47">
        <v>66646.81</v>
      </c>
      <c r="M47">
        <v>38455.49</v>
      </c>
      <c r="N47" t="str">
        <f t="shared" si="0"/>
        <v>Apr</v>
      </c>
      <c r="O47">
        <f t="shared" si="1"/>
        <v>4</v>
      </c>
      <c r="P47" s="2">
        <f t="shared" si="2"/>
        <v>0.36588628412508573</v>
      </c>
    </row>
    <row r="48" spans="1:16" x14ac:dyDescent="0.25">
      <c r="A48" t="s">
        <v>59</v>
      </c>
      <c r="B48" s="4">
        <v>46127.81012658227</v>
      </c>
      <c r="C48" t="s">
        <v>138</v>
      </c>
      <c r="D48" t="s">
        <v>174</v>
      </c>
      <c r="E48" t="s">
        <v>178</v>
      </c>
      <c r="F48" t="s">
        <v>180</v>
      </c>
      <c r="G48">
        <v>2</v>
      </c>
      <c r="H48">
        <v>1098</v>
      </c>
      <c r="I48">
        <v>5</v>
      </c>
      <c r="J48" t="s">
        <v>186</v>
      </c>
      <c r="K48">
        <v>2086.1999999999998</v>
      </c>
      <c r="L48">
        <v>1561.49</v>
      </c>
      <c r="M48">
        <v>524.71</v>
      </c>
      <c r="N48" t="str">
        <f t="shared" si="0"/>
        <v>Apr</v>
      </c>
      <c r="O48">
        <f t="shared" si="1"/>
        <v>4</v>
      </c>
      <c r="P48" s="2">
        <f t="shared" si="2"/>
        <v>0.25151471575112649</v>
      </c>
    </row>
    <row r="49" spans="1:16" x14ac:dyDescent="0.25">
      <c r="A49" t="s">
        <v>60</v>
      </c>
      <c r="B49" s="4">
        <v>46130.088607594931</v>
      </c>
      <c r="C49" t="s">
        <v>139</v>
      </c>
      <c r="D49" t="s">
        <v>172</v>
      </c>
      <c r="E49" t="s">
        <v>178</v>
      </c>
      <c r="F49" t="s">
        <v>179</v>
      </c>
      <c r="G49">
        <v>3</v>
      </c>
      <c r="H49">
        <v>2836</v>
      </c>
      <c r="I49">
        <v>10</v>
      </c>
      <c r="J49" t="s">
        <v>185</v>
      </c>
      <c r="K49">
        <v>7657.2</v>
      </c>
      <c r="L49">
        <v>4788.0600000000004</v>
      </c>
      <c r="M49">
        <v>2869.14</v>
      </c>
      <c r="N49" t="str">
        <f t="shared" si="0"/>
        <v>Apr</v>
      </c>
      <c r="O49">
        <f t="shared" si="1"/>
        <v>4</v>
      </c>
      <c r="P49" s="2">
        <f t="shared" si="2"/>
        <v>0.3746983231468422</v>
      </c>
    </row>
    <row r="50" spans="1:16" x14ac:dyDescent="0.25">
      <c r="A50" t="s">
        <v>61</v>
      </c>
      <c r="B50" s="4">
        <v>46132.367088607592</v>
      </c>
      <c r="C50" t="s">
        <v>140</v>
      </c>
      <c r="D50" t="s">
        <v>174</v>
      </c>
      <c r="E50" t="s">
        <v>178</v>
      </c>
      <c r="F50" t="s">
        <v>180</v>
      </c>
      <c r="G50">
        <v>4</v>
      </c>
      <c r="H50">
        <v>1279</v>
      </c>
      <c r="I50">
        <v>5</v>
      </c>
      <c r="J50" t="s">
        <v>183</v>
      </c>
      <c r="K50">
        <v>4860.2</v>
      </c>
      <c r="L50">
        <v>3582.72</v>
      </c>
      <c r="M50">
        <v>1277.48</v>
      </c>
      <c r="N50" t="str">
        <f t="shared" si="0"/>
        <v>Apr</v>
      </c>
      <c r="O50">
        <f t="shared" si="1"/>
        <v>4</v>
      </c>
      <c r="P50" s="2">
        <f t="shared" si="2"/>
        <v>0.26284515040533313</v>
      </c>
    </row>
    <row r="51" spans="1:16" x14ac:dyDescent="0.25">
      <c r="A51" t="s">
        <v>62</v>
      </c>
      <c r="B51" s="4">
        <v>46134.645569620247</v>
      </c>
      <c r="C51" t="s">
        <v>141</v>
      </c>
      <c r="D51" t="s">
        <v>171</v>
      </c>
      <c r="E51" t="s">
        <v>177</v>
      </c>
      <c r="F51" t="s">
        <v>179</v>
      </c>
      <c r="G51">
        <v>2</v>
      </c>
      <c r="H51">
        <v>14148</v>
      </c>
      <c r="I51">
        <v>10</v>
      </c>
      <c r="J51" t="s">
        <v>184</v>
      </c>
      <c r="K51">
        <v>25466.400000000001</v>
      </c>
      <c r="L51">
        <v>20578.02</v>
      </c>
      <c r="M51">
        <v>4888.38</v>
      </c>
      <c r="N51" t="str">
        <f t="shared" si="0"/>
        <v>Apr</v>
      </c>
      <c r="O51">
        <f t="shared" si="1"/>
        <v>4</v>
      </c>
      <c r="P51" s="2">
        <f t="shared" si="2"/>
        <v>0.19195410423145792</v>
      </c>
    </row>
    <row r="52" spans="1:16" x14ac:dyDescent="0.25">
      <c r="A52" t="s">
        <v>63</v>
      </c>
      <c r="B52" s="4">
        <v>46136.924050632908</v>
      </c>
      <c r="C52" t="s">
        <v>142</v>
      </c>
      <c r="D52" t="s">
        <v>171</v>
      </c>
      <c r="E52" t="s">
        <v>177</v>
      </c>
      <c r="F52" t="s">
        <v>180</v>
      </c>
      <c r="G52">
        <v>1</v>
      </c>
      <c r="H52">
        <v>14296</v>
      </c>
      <c r="I52">
        <v>15</v>
      </c>
      <c r="J52" t="s">
        <v>186</v>
      </c>
      <c r="K52">
        <v>12151.6</v>
      </c>
      <c r="L52">
        <v>8932.58</v>
      </c>
      <c r="M52">
        <v>3219.02</v>
      </c>
      <c r="N52" t="str">
        <f t="shared" si="0"/>
        <v>Apr</v>
      </c>
      <c r="O52">
        <f t="shared" si="1"/>
        <v>4</v>
      </c>
      <c r="P52" s="2">
        <f t="shared" si="2"/>
        <v>0.26490503308206326</v>
      </c>
    </row>
    <row r="53" spans="1:16" x14ac:dyDescent="0.25">
      <c r="A53" t="s">
        <v>64</v>
      </c>
      <c r="B53" s="4">
        <v>46139.202531645569</v>
      </c>
      <c r="C53" t="s">
        <v>143</v>
      </c>
      <c r="D53" t="s">
        <v>171</v>
      </c>
      <c r="E53" t="s">
        <v>177</v>
      </c>
      <c r="F53" t="s">
        <v>182</v>
      </c>
      <c r="G53">
        <v>4</v>
      </c>
      <c r="H53">
        <v>14101</v>
      </c>
      <c r="I53">
        <v>0</v>
      </c>
      <c r="J53" t="s">
        <v>184</v>
      </c>
      <c r="K53">
        <v>56404</v>
      </c>
      <c r="L53">
        <v>39349.35</v>
      </c>
      <c r="M53">
        <v>17054.650000000001</v>
      </c>
      <c r="N53" t="str">
        <f t="shared" si="0"/>
        <v>Apr</v>
      </c>
      <c r="O53">
        <f t="shared" si="1"/>
        <v>4</v>
      </c>
      <c r="P53" s="2">
        <f t="shared" si="2"/>
        <v>0.30236596695269841</v>
      </c>
    </row>
    <row r="54" spans="1:16" x14ac:dyDescent="0.25">
      <c r="A54" t="s">
        <v>65</v>
      </c>
      <c r="B54" s="4">
        <v>46141.481012658223</v>
      </c>
      <c r="C54" t="s">
        <v>144</v>
      </c>
      <c r="D54" t="s">
        <v>171</v>
      </c>
      <c r="E54" t="s">
        <v>177</v>
      </c>
      <c r="F54" t="s">
        <v>180</v>
      </c>
      <c r="G54">
        <v>4</v>
      </c>
      <c r="H54">
        <v>13980</v>
      </c>
      <c r="I54">
        <v>0</v>
      </c>
      <c r="J54" t="s">
        <v>184</v>
      </c>
      <c r="K54">
        <v>55920</v>
      </c>
      <c r="L54">
        <v>41864.94</v>
      </c>
      <c r="M54">
        <v>14055.06</v>
      </c>
      <c r="N54" t="str">
        <f t="shared" si="0"/>
        <v>Apr</v>
      </c>
      <c r="O54">
        <f t="shared" si="1"/>
        <v>4</v>
      </c>
      <c r="P54" s="2">
        <f t="shared" si="2"/>
        <v>0.2513422746781116</v>
      </c>
    </row>
    <row r="55" spans="1:16" x14ac:dyDescent="0.25">
      <c r="A55" t="s">
        <v>66</v>
      </c>
      <c r="B55" s="4">
        <v>46143.759493670877</v>
      </c>
      <c r="C55" t="s">
        <v>145</v>
      </c>
      <c r="D55" t="s">
        <v>172</v>
      </c>
      <c r="E55" t="s">
        <v>178</v>
      </c>
      <c r="F55" t="s">
        <v>179</v>
      </c>
      <c r="G55">
        <v>1</v>
      </c>
      <c r="H55">
        <v>3406</v>
      </c>
      <c r="I55">
        <v>15</v>
      </c>
      <c r="J55" t="s">
        <v>183</v>
      </c>
      <c r="K55">
        <v>2895.1</v>
      </c>
      <c r="L55">
        <v>2060.3000000000002</v>
      </c>
      <c r="M55">
        <v>834.8</v>
      </c>
      <c r="N55" t="str">
        <f t="shared" si="0"/>
        <v>May</v>
      </c>
      <c r="O55">
        <f t="shared" si="1"/>
        <v>5</v>
      </c>
      <c r="P55" s="2">
        <f t="shared" si="2"/>
        <v>0.28834927981762287</v>
      </c>
    </row>
    <row r="56" spans="1:16" x14ac:dyDescent="0.25">
      <c r="A56" t="s">
        <v>67</v>
      </c>
      <c r="B56" s="4">
        <v>46146.037974683539</v>
      </c>
      <c r="C56" t="s">
        <v>146</v>
      </c>
      <c r="D56" t="s">
        <v>173</v>
      </c>
      <c r="E56" t="s">
        <v>178</v>
      </c>
      <c r="F56" t="s">
        <v>179</v>
      </c>
      <c r="G56">
        <v>2</v>
      </c>
      <c r="H56">
        <v>2098</v>
      </c>
      <c r="I56">
        <v>0</v>
      </c>
      <c r="J56" t="s">
        <v>186</v>
      </c>
      <c r="K56">
        <v>4196</v>
      </c>
      <c r="L56">
        <v>3059.4</v>
      </c>
      <c r="M56">
        <v>1136.5999999999999</v>
      </c>
      <c r="N56" t="str">
        <f t="shared" si="0"/>
        <v>May</v>
      </c>
      <c r="O56">
        <f t="shared" si="1"/>
        <v>5</v>
      </c>
      <c r="P56" s="2">
        <f t="shared" si="2"/>
        <v>0.27087702573879885</v>
      </c>
    </row>
    <row r="57" spans="1:16" x14ac:dyDescent="0.25">
      <c r="A57" t="s">
        <v>68</v>
      </c>
      <c r="B57" s="4">
        <v>46148.316455696193</v>
      </c>
      <c r="C57" t="s">
        <v>147</v>
      </c>
      <c r="D57" t="s">
        <v>175</v>
      </c>
      <c r="E57" t="s">
        <v>177</v>
      </c>
      <c r="F57" t="s">
        <v>182</v>
      </c>
      <c r="G57">
        <v>1</v>
      </c>
      <c r="H57">
        <v>55499</v>
      </c>
      <c r="I57">
        <v>15</v>
      </c>
      <c r="J57" t="s">
        <v>187</v>
      </c>
      <c r="K57">
        <v>47174.15</v>
      </c>
      <c r="L57">
        <v>38130.53</v>
      </c>
      <c r="M57">
        <v>9043.6200000000008</v>
      </c>
      <c r="N57" t="str">
        <f t="shared" si="0"/>
        <v>May</v>
      </c>
      <c r="O57">
        <f t="shared" si="1"/>
        <v>5</v>
      </c>
      <c r="P57" s="2">
        <f t="shared" si="2"/>
        <v>0.19170711077995048</v>
      </c>
    </row>
    <row r="58" spans="1:16" x14ac:dyDescent="0.25">
      <c r="A58" t="s">
        <v>69</v>
      </c>
      <c r="B58" s="4">
        <v>46150.594936708847</v>
      </c>
      <c r="C58" t="s">
        <v>148</v>
      </c>
      <c r="D58" t="s">
        <v>171</v>
      </c>
      <c r="E58" t="s">
        <v>177</v>
      </c>
      <c r="F58" t="s">
        <v>180</v>
      </c>
      <c r="G58">
        <v>4</v>
      </c>
      <c r="H58">
        <v>13915</v>
      </c>
      <c r="I58">
        <v>15</v>
      </c>
      <c r="J58" t="s">
        <v>185</v>
      </c>
      <c r="K58">
        <v>47311</v>
      </c>
      <c r="L58">
        <v>32986.199999999997</v>
      </c>
      <c r="M58">
        <v>14324.8</v>
      </c>
      <c r="N58" t="str">
        <f t="shared" si="0"/>
        <v>May</v>
      </c>
      <c r="O58">
        <f t="shared" si="1"/>
        <v>5</v>
      </c>
      <c r="P58" s="2">
        <f t="shared" si="2"/>
        <v>0.30277948045908981</v>
      </c>
    </row>
    <row r="59" spans="1:16" x14ac:dyDescent="0.25">
      <c r="A59" t="s">
        <v>70</v>
      </c>
      <c r="B59" s="4">
        <v>46152.873417721523</v>
      </c>
      <c r="C59" t="s">
        <v>149</v>
      </c>
      <c r="D59" t="s">
        <v>174</v>
      </c>
      <c r="E59" t="s">
        <v>178</v>
      </c>
      <c r="F59" t="s">
        <v>180</v>
      </c>
      <c r="G59">
        <v>5</v>
      </c>
      <c r="H59">
        <v>1190</v>
      </c>
      <c r="I59">
        <v>15</v>
      </c>
      <c r="J59" t="s">
        <v>183</v>
      </c>
      <c r="K59">
        <v>5057.5</v>
      </c>
      <c r="L59">
        <v>4107.8900000000003</v>
      </c>
      <c r="M59">
        <v>949.61</v>
      </c>
      <c r="N59" t="str">
        <f t="shared" si="0"/>
        <v>May</v>
      </c>
      <c r="O59">
        <f t="shared" si="1"/>
        <v>5</v>
      </c>
      <c r="P59" s="2">
        <f t="shared" si="2"/>
        <v>0.1877627286208601</v>
      </c>
    </row>
    <row r="60" spans="1:16" x14ac:dyDescent="0.25">
      <c r="A60" t="s">
        <v>71</v>
      </c>
      <c r="B60" s="4">
        <v>46155.15189873417</v>
      </c>
      <c r="C60" t="s">
        <v>150</v>
      </c>
      <c r="D60" t="s">
        <v>171</v>
      </c>
      <c r="E60" t="s">
        <v>177</v>
      </c>
      <c r="F60" t="s">
        <v>182</v>
      </c>
      <c r="G60">
        <v>5</v>
      </c>
      <c r="H60">
        <v>14052</v>
      </c>
      <c r="I60">
        <v>0</v>
      </c>
      <c r="J60" t="s">
        <v>183</v>
      </c>
      <c r="K60">
        <v>70260</v>
      </c>
      <c r="L60">
        <v>56283.19</v>
      </c>
      <c r="M60">
        <v>13976.81</v>
      </c>
      <c r="N60" t="str">
        <f t="shared" si="0"/>
        <v>May</v>
      </c>
      <c r="O60">
        <f t="shared" si="1"/>
        <v>5</v>
      </c>
      <c r="P60" s="2">
        <f t="shared" si="2"/>
        <v>0.19892983205237688</v>
      </c>
    </row>
    <row r="61" spans="1:16" x14ac:dyDescent="0.25">
      <c r="A61" t="s">
        <v>72</v>
      </c>
      <c r="B61" s="4">
        <v>46157.430379746831</v>
      </c>
      <c r="C61" t="s">
        <v>151</v>
      </c>
      <c r="D61" t="s">
        <v>174</v>
      </c>
      <c r="E61" t="s">
        <v>178</v>
      </c>
      <c r="F61" t="s">
        <v>180</v>
      </c>
      <c r="G61">
        <v>3</v>
      </c>
      <c r="H61">
        <v>1160</v>
      </c>
      <c r="I61">
        <v>10</v>
      </c>
      <c r="J61" t="s">
        <v>186</v>
      </c>
      <c r="K61">
        <v>3132</v>
      </c>
      <c r="L61">
        <v>2064.48</v>
      </c>
      <c r="M61">
        <v>1067.52</v>
      </c>
      <c r="N61" t="str">
        <f t="shared" si="0"/>
        <v>May</v>
      </c>
      <c r="O61">
        <f t="shared" si="1"/>
        <v>5</v>
      </c>
      <c r="P61" s="2">
        <f t="shared" si="2"/>
        <v>0.34084291187739463</v>
      </c>
    </row>
    <row r="62" spans="1:16" x14ac:dyDescent="0.25">
      <c r="A62" t="s">
        <v>73</v>
      </c>
      <c r="B62" s="4">
        <v>46159.708860759492</v>
      </c>
      <c r="C62" t="s">
        <v>152</v>
      </c>
      <c r="D62" t="s">
        <v>174</v>
      </c>
      <c r="E62" t="s">
        <v>178</v>
      </c>
      <c r="F62" t="s">
        <v>180</v>
      </c>
      <c r="G62">
        <v>1</v>
      </c>
      <c r="H62">
        <v>1255</v>
      </c>
      <c r="I62">
        <v>15</v>
      </c>
      <c r="J62" t="s">
        <v>185</v>
      </c>
      <c r="K62">
        <v>1066.75</v>
      </c>
      <c r="L62">
        <v>676.18</v>
      </c>
      <c r="M62">
        <v>390.57</v>
      </c>
      <c r="N62" t="str">
        <f t="shared" si="0"/>
        <v>May</v>
      </c>
      <c r="O62">
        <f t="shared" si="1"/>
        <v>5</v>
      </c>
      <c r="P62" s="2">
        <f t="shared" si="2"/>
        <v>0.36613077103351299</v>
      </c>
    </row>
    <row r="63" spans="1:16" x14ac:dyDescent="0.25">
      <c r="A63" t="s">
        <v>74</v>
      </c>
      <c r="B63" s="4">
        <v>46161.987341772139</v>
      </c>
      <c r="C63" t="s">
        <v>153</v>
      </c>
      <c r="D63" t="s">
        <v>171</v>
      </c>
      <c r="E63" t="s">
        <v>177</v>
      </c>
      <c r="F63" t="s">
        <v>179</v>
      </c>
      <c r="G63">
        <v>1</v>
      </c>
      <c r="H63">
        <v>14122</v>
      </c>
      <c r="I63">
        <v>5</v>
      </c>
      <c r="J63" t="s">
        <v>185</v>
      </c>
      <c r="K63">
        <v>13415.9</v>
      </c>
      <c r="L63">
        <v>8588.26</v>
      </c>
      <c r="M63">
        <v>4827.6400000000003</v>
      </c>
      <c r="N63" t="str">
        <f t="shared" si="0"/>
        <v>May</v>
      </c>
      <c r="O63">
        <f t="shared" si="1"/>
        <v>5</v>
      </c>
      <c r="P63" s="2">
        <f t="shared" si="2"/>
        <v>0.35984466193099235</v>
      </c>
    </row>
    <row r="64" spans="1:16" x14ac:dyDescent="0.25">
      <c r="A64" t="s">
        <v>75</v>
      </c>
      <c r="B64" s="4">
        <v>46164.265822784801</v>
      </c>
      <c r="C64" t="s">
        <v>154</v>
      </c>
      <c r="D64" t="s">
        <v>172</v>
      </c>
      <c r="E64" t="s">
        <v>178</v>
      </c>
      <c r="F64" t="s">
        <v>180</v>
      </c>
      <c r="G64">
        <v>3</v>
      </c>
      <c r="H64">
        <v>2927</v>
      </c>
      <c r="I64">
        <v>0</v>
      </c>
      <c r="J64" t="s">
        <v>185</v>
      </c>
      <c r="K64">
        <v>8781</v>
      </c>
      <c r="L64">
        <v>5476.22</v>
      </c>
      <c r="M64">
        <v>3304.78</v>
      </c>
      <c r="N64" t="str">
        <f t="shared" si="0"/>
        <v>May</v>
      </c>
      <c r="O64">
        <f t="shared" si="1"/>
        <v>5</v>
      </c>
      <c r="P64" s="2">
        <f t="shared" si="2"/>
        <v>0.37635576813574767</v>
      </c>
    </row>
    <row r="65" spans="1:16" x14ac:dyDescent="0.25">
      <c r="A65" t="s">
        <v>76</v>
      </c>
      <c r="B65" s="4">
        <v>46166.544303797462</v>
      </c>
      <c r="C65" t="s">
        <v>155</v>
      </c>
      <c r="D65" t="s">
        <v>174</v>
      </c>
      <c r="E65" t="s">
        <v>178</v>
      </c>
      <c r="F65" t="s">
        <v>180</v>
      </c>
      <c r="G65">
        <v>3</v>
      </c>
      <c r="H65">
        <v>1017</v>
      </c>
      <c r="I65">
        <v>15</v>
      </c>
      <c r="J65" t="s">
        <v>184</v>
      </c>
      <c r="K65">
        <v>2593.35</v>
      </c>
      <c r="L65">
        <v>1656.86</v>
      </c>
      <c r="M65">
        <v>936.49</v>
      </c>
      <c r="N65" t="str">
        <f t="shared" si="0"/>
        <v>May</v>
      </c>
      <c r="O65">
        <f t="shared" si="1"/>
        <v>5</v>
      </c>
      <c r="P65" s="2">
        <f t="shared" si="2"/>
        <v>0.36111207511519849</v>
      </c>
    </row>
    <row r="66" spans="1:16" x14ac:dyDescent="0.25">
      <c r="A66" t="s">
        <v>77</v>
      </c>
      <c r="B66" s="4">
        <v>46168.822784810123</v>
      </c>
      <c r="C66" t="s">
        <v>156</v>
      </c>
      <c r="D66" t="s">
        <v>174</v>
      </c>
      <c r="E66" t="s">
        <v>178</v>
      </c>
      <c r="F66" t="s">
        <v>182</v>
      </c>
      <c r="G66">
        <v>3</v>
      </c>
      <c r="H66">
        <v>1565</v>
      </c>
      <c r="I66">
        <v>15</v>
      </c>
      <c r="J66" t="s">
        <v>185</v>
      </c>
      <c r="K66">
        <v>3990.75</v>
      </c>
      <c r="L66">
        <v>3019.41</v>
      </c>
      <c r="M66">
        <v>971.34</v>
      </c>
      <c r="N66" t="str">
        <f t="shared" si="0"/>
        <v>May</v>
      </c>
      <c r="O66">
        <f t="shared" si="1"/>
        <v>5</v>
      </c>
      <c r="P66" s="2">
        <f t="shared" si="2"/>
        <v>0.24339785754557414</v>
      </c>
    </row>
    <row r="67" spans="1:16" x14ac:dyDescent="0.25">
      <c r="A67" t="s">
        <v>78</v>
      </c>
      <c r="B67" s="4">
        <v>46171.101265822777</v>
      </c>
      <c r="C67" t="s">
        <v>157</v>
      </c>
      <c r="D67" t="s">
        <v>171</v>
      </c>
      <c r="E67" t="s">
        <v>177</v>
      </c>
      <c r="F67" t="s">
        <v>182</v>
      </c>
      <c r="G67">
        <v>4</v>
      </c>
      <c r="H67">
        <v>14369</v>
      </c>
      <c r="I67">
        <v>5</v>
      </c>
      <c r="J67" t="s">
        <v>184</v>
      </c>
      <c r="K67">
        <v>54602.2</v>
      </c>
      <c r="L67">
        <v>34630.78</v>
      </c>
      <c r="M67">
        <v>19971.419999999998</v>
      </c>
      <c r="N67" t="str">
        <f t="shared" ref="N67:N81" si="3">TEXT(B67,"mmm")</f>
        <v>May</v>
      </c>
      <c r="O67">
        <f t="shared" ref="O67:O81" si="4">MONTH(B67)</f>
        <v>5</v>
      </c>
      <c r="P67" s="2">
        <f t="shared" ref="P67:P81" si="5">M67/K67</f>
        <v>0.36576218540644884</v>
      </c>
    </row>
    <row r="68" spans="1:16" x14ac:dyDescent="0.25">
      <c r="A68" t="s">
        <v>79</v>
      </c>
      <c r="B68" s="4">
        <v>46173.379746835439</v>
      </c>
      <c r="C68" t="s">
        <v>158</v>
      </c>
      <c r="D68" t="s">
        <v>174</v>
      </c>
      <c r="E68" t="s">
        <v>178</v>
      </c>
      <c r="F68" t="s">
        <v>181</v>
      </c>
      <c r="G68">
        <v>1</v>
      </c>
      <c r="H68">
        <f>K68/(G68*(1-I68/100))</f>
        <v>1322</v>
      </c>
      <c r="I68">
        <v>10</v>
      </c>
      <c r="J68" t="s">
        <v>186</v>
      </c>
      <c r="K68">
        <v>1189.8</v>
      </c>
      <c r="L68">
        <v>813.58</v>
      </c>
      <c r="M68">
        <v>376.22</v>
      </c>
      <c r="N68" t="str">
        <f t="shared" si="3"/>
        <v>May</v>
      </c>
      <c r="O68">
        <f t="shared" si="4"/>
        <v>5</v>
      </c>
      <c r="P68" s="2">
        <f t="shared" si="5"/>
        <v>0.31620440410152972</v>
      </c>
    </row>
    <row r="69" spans="1:16" x14ac:dyDescent="0.25">
      <c r="A69" t="s">
        <v>80</v>
      </c>
      <c r="B69" s="4">
        <v>46175.658227848093</v>
      </c>
      <c r="C69" t="s">
        <v>159</v>
      </c>
      <c r="D69" t="s">
        <v>174</v>
      </c>
      <c r="E69" t="s">
        <v>178</v>
      </c>
      <c r="F69" t="s">
        <v>179</v>
      </c>
      <c r="G69">
        <v>4</v>
      </c>
      <c r="H69">
        <v>1685</v>
      </c>
      <c r="I69">
        <v>10</v>
      </c>
      <c r="J69" t="s">
        <v>184</v>
      </c>
      <c r="K69">
        <v>6066</v>
      </c>
      <c r="L69">
        <v>4785.92</v>
      </c>
      <c r="M69">
        <v>1280.08</v>
      </c>
      <c r="N69" t="str">
        <f t="shared" si="3"/>
        <v>Jun</v>
      </c>
      <c r="O69">
        <f t="shared" si="4"/>
        <v>6</v>
      </c>
      <c r="P69" s="2">
        <f t="shared" si="5"/>
        <v>0.21102538740520935</v>
      </c>
    </row>
    <row r="70" spans="1:16" x14ac:dyDescent="0.25">
      <c r="A70" t="s">
        <v>81</v>
      </c>
      <c r="B70" s="4">
        <v>46177.936708860747</v>
      </c>
      <c r="C70" t="s">
        <v>160</v>
      </c>
      <c r="D70" t="s">
        <v>171</v>
      </c>
      <c r="E70" t="s">
        <v>177</v>
      </c>
      <c r="F70" t="s">
        <v>180</v>
      </c>
      <c r="G70">
        <v>3</v>
      </c>
      <c r="H70">
        <v>14425</v>
      </c>
      <c r="I70">
        <v>10</v>
      </c>
      <c r="J70" t="s">
        <v>186</v>
      </c>
      <c r="K70">
        <v>38947.5</v>
      </c>
      <c r="L70">
        <v>24328.73</v>
      </c>
      <c r="M70">
        <v>14618.77</v>
      </c>
      <c r="N70" t="str">
        <f t="shared" si="3"/>
        <v>Jun</v>
      </c>
      <c r="O70">
        <f t="shared" si="4"/>
        <v>6</v>
      </c>
      <c r="P70" s="2">
        <f t="shared" si="5"/>
        <v>0.3753455292380769</v>
      </c>
    </row>
    <row r="71" spans="1:16" x14ac:dyDescent="0.25">
      <c r="A71" t="s">
        <v>82</v>
      </c>
      <c r="B71" s="4">
        <v>46180.215189873423</v>
      </c>
      <c r="C71" t="s">
        <v>161</v>
      </c>
      <c r="D71" t="s">
        <v>171</v>
      </c>
      <c r="E71" t="s">
        <v>177</v>
      </c>
      <c r="F71" t="s">
        <v>180</v>
      </c>
      <c r="G71">
        <v>1</v>
      </c>
      <c r="H71">
        <v>14087</v>
      </c>
      <c r="I71">
        <v>15</v>
      </c>
      <c r="J71" t="s">
        <v>185</v>
      </c>
      <c r="K71">
        <v>11973.95</v>
      </c>
      <c r="L71">
        <v>9374.33</v>
      </c>
      <c r="M71">
        <v>2599.62</v>
      </c>
      <c r="N71" t="str">
        <f t="shared" si="3"/>
        <v>Jun</v>
      </c>
      <c r="O71">
        <f t="shared" si="4"/>
        <v>6</v>
      </c>
      <c r="P71" s="2">
        <f t="shared" si="5"/>
        <v>0.21710630159638211</v>
      </c>
    </row>
    <row r="72" spans="1:16" x14ac:dyDescent="0.25">
      <c r="A72" t="s">
        <v>83</v>
      </c>
      <c r="B72" s="4">
        <v>46182.493670886062</v>
      </c>
      <c r="C72" t="s">
        <v>103</v>
      </c>
      <c r="D72" t="s">
        <v>175</v>
      </c>
      <c r="E72" t="s">
        <v>177</v>
      </c>
      <c r="F72" t="s">
        <v>181</v>
      </c>
      <c r="G72">
        <v>4</v>
      </c>
      <c r="H72">
        <v>55462</v>
      </c>
      <c r="I72">
        <v>15</v>
      </c>
      <c r="J72" t="s">
        <v>185</v>
      </c>
      <c r="K72">
        <v>188570.8</v>
      </c>
      <c r="L72">
        <v>127543.81</v>
      </c>
      <c r="M72">
        <v>61026.99</v>
      </c>
      <c r="N72" t="str">
        <f t="shared" si="3"/>
        <v>Jun</v>
      </c>
      <c r="O72">
        <f t="shared" si="4"/>
        <v>6</v>
      </c>
      <c r="P72" s="2">
        <f t="shared" si="5"/>
        <v>0.32362905603624742</v>
      </c>
    </row>
    <row r="73" spans="1:16" x14ac:dyDescent="0.25">
      <c r="A73" t="s">
        <v>84</v>
      </c>
      <c r="B73" s="4">
        <v>46184.772151898716</v>
      </c>
      <c r="C73" t="s">
        <v>162</v>
      </c>
      <c r="D73" t="s">
        <v>172</v>
      </c>
      <c r="E73" t="s">
        <v>178</v>
      </c>
      <c r="F73" t="s">
        <v>180</v>
      </c>
      <c r="G73">
        <v>4</v>
      </c>
      <c r="H73">
        <v>3438</v>
      </c>
      <c r="I73">
        <v>15</v>
      </c>
      <c r="J73" t="s">
        <v>186</v>
      </c>
      <c r="K73">
        <v>11689.2</v>
      </c>
      <c r="L73">
        <v>7523.55</v>
      </c>
      <c r="M73">
        <v>4165.6499999999996</v>
      </c>
      <c r="N73" t="str">
        <f t="shared" si="3"/>
        <v>Jun</v>
      </c>
      <c r="O73">
        <f t="shared" si="4"/>
        <v>6</v>
      </c>
      <c r="P73" s="2">
        <f t="shared" si="5"/>
        <v>0.35636741607637812</v>
      </c>
    </row>
    <row r="74" spans="1:16" x14ac:dyDescent="0.25">
      <c r="A74" t="s">
        <v>85</v>
      </c>
      <c r="B74" s="4">
        <v>46187.050632911392</v>
      </c>
      <c r="C74" t="s">
        <v>163</v>
      </c>
      <c r="D74" t="s">
        <v>172</v>
      </c>
      <c r="E74" t="s">
        <v>178</v>
      </c>
      <c r="F74" t="s">
        <v>179</v>
      </c>
      <c r="G74">
        <v>3</v>
      </c>
      <c r="H74">
        <v>2954</v>
      </c>
      <c r="I74">
        <v>0</v>
      </c>
      <c r="J74" t="s">
        <v>183</v>
      </c>
      <c r="K74">
        <v>8862</v>
      </c>
      <c r="L74">
        <v>6729.34</v>
      </c>
      <c r="M74">
        <v>2132.66</v>
      </c>
      <c r="N74" t="str">
        <f t="shared" si="3"/>
        <v>Jun</v>
      </c>
      <c r="O74">
        <f t="shared" si="4"/>
        <v>6</v>
      </c>
      <c r="P74" s="2">
        <f t="shared" si="5"/>
        <v>0.24065222297449784</v>
      </c>
    </row>
    <row r="75" spans="1:16" x14ac:dyDescent="0.25">
      <c r="A75" t="s">
        <v>86</v>
      </c>
      <c r="B75" s="4">
        <v>46189.329113924039</v>
      </c>
      <c r="C75" t="s">
        <v>164</v>
      </c>
      <c r="D75" t="s">
        <v>174</v>
      </c>
      <c r="E75" t="s">
        <v>178</v>
      </c>
      <c r="F75" t="s">
        <v>181</v>
      </c>
      <c r="G75">
        <v>1</v>
      </c>
      <c r="H75">
        <v>1489</v>
      </c>
      <c r="I75">
        <v>5</v>
      </c>
      <c r="J75" t="s">
        <v>186</v>
      </c>
      <c r="K75">
        <v>1414.55</v>
      </c>
      <c r="L75">
        <v>1054.96</v>
      </c>
      <c r="M75">
        <v>359.59</v>
      </c>
      <c r="N75" t="str">
        <f t="shared" si="3"/>
        <v>Jun</v>
      </c>
      <c r="O75">
        <f t="shared" si="4"/>
        <v>6</v>
      </c>
      <c r="P75" s="2">
        <f t="shared" si="5"/>
        <v>0.25420805203068114</v>
      </c>
    </row>
    <row r="76" spans="1:16" x14ac:dyDescent="0.25">
      <c r="A76" t="s">
        <v>87</v>
      </c>
      <c r="B76" s="4">
        <v>46191.6075949367</v>
      </c>
      <c r="C76" t="s">
        <v>165</v>
      </c>
      <c r="D76" t="s">
        <v>172</v>
      </c>
      <c r="E76" t="s">
        <v>178</v>
      </c>
      <c r="F76" t="s">
        <v>179</v>
      </c>
      <c r="G76">
        <v>3</v>
      </c>
      <c r="H76">
        <v>3185</v>
      </c>
      <c r="I76">
        <v>15</v>
      </c>
      <c r="J76" t="s">
        <v>183</v>
      </c>
      <c r="K76">
        <v>8121.75</v>
      </c>
      <c r="L76">
        <v>6460.81</v>
      </c>
      <c r="M76">
        <v>1660.94</v>
      </c>
      <c r="N76" t="str">
        <f t="shared" si="3"/>
        <v>Jun</v>
      </c>
      <c r="O76">
        <f t="shared" si="4"/>
        <v>6</v>
      </c>
      <c r="P76" s="2">
        <f t="shared" si="5"/>
        <v>0.20450518669006065</v>
      </c>
    </row>
    <row r="77" spans="1:16" x14ac:dyDescent="0.25">
      <c r="A77" t="s">
        <v>88</v>
      </c>
      <c r="B77" s="4">
        <v>46193.886075949362</v>
      </c>
      <c r="C77" t="s">
        <v>166</v>
      </c>
      <c r="D77" t="s">
        <v>174</v>
      </c>
      <c r="E77" t="s">
        <v>178</v>
      </c>
      <c r="F77" t="s">
        <v>181</v>
      </c>
      <c r="G77">
        <v>1</v>
      </c>
      <c r="H77">
        <v>1103</v>
      </c>
      <c r="I77">
        <v>5</v>
      </c>
      <c r="J77" t="s">
        <v>184</v>
      </c>
      <c r="K77">
        <v>1047.8499999999999</v>
      </c>
      <c r="L77">
        <v>803.72</v>
      </c>
      <c r="M77">
        <v>244.13</v>
      </c>
      <c r="N77" t="str">
        <f t="shared" si="3"/>
        <v>Jun</v>
      </c>
      <c r="O77">
        <f t="shared" si="4"/>
        <v>6</v>
      </c>
      <c r="P77" s="2">
        <f t="shared" si="5"/>
        <v>0.23298181991697287</v>
      </c>
    </row>
    <row r="78" spans="1:16" x14ac:dyDescent="0.25">
      <c r="A78" t="s">
        <v>89</v>
      </c>
      <c r="B78" s="4">
        <v>46196.164556962023</v>
      </c>
      <c r="C78" t="s">
        <v>167</v>
      </c>
      <c r="D78" t="s">
        <v>175</v>
      </c>
      <c r="E78" t="s">
        <v>177</v>
      </c>
      <c r="F78" t="s">
        <v>181</v>
      </c>
      <c r="G78">
        <v>5</v>
      </c>
      <c r="H78">
        <v>55192</v>
      </c>
      <c r="I78">
        <v>5</v>
      </c>
      <c r="J78" t="s">
        <v>184</v>
      </c>
      <c r="K78">
        <v>262162</v>
      </c>
      <c r="L78">
        <v>204668.87</v>
      </c>
      <c r="M78">
        <v>57493.13</v>
      </c>
      <c r="N78" t="str">
        <f t="shared" si="3"/>
        <v>Jun</v>
      </c>
      <c r="O78">
        <f t="shared" si="4"/>
        <v>6</v>
      </c>
      <c r="P78" s="2">
        <f t="shared" si="5"/>
        <v>0.2193038274044293</v>
      </c>
    </row>
    <row r="79" spans="1:16" x14ac:dyDescent="0.25">
      <c r="A79" t="s">
        <v>90</v>
      </c>
      <c r="B79" s="4">
        <v>46198.443037974677</v>
      </c>
      <c r="C79" t="s">
        <v>168</v>
      </c>
      <c r="D79" t="s">
        <v>171</v>
      </c>
      <c r="E79" t="s">
        <v>177</v>
      </c>
      <c r="F79" t="s">
        <v>182</v>
      </c>
      <c r="G79">
        <v>2</v>
      </c>
      <c r="H79">
        <v>14045</v>
      </c>
      <c r="I79">
        <v>10</v>
      </c>
      <c r="J79" t="s">
        <v>184</v>
      </c>
      <c r="K79">
        <v>25281</v>
      </c>
      <c r="L79">
        <v>17100.240000000002</v>
      </c>
      <c r="M79">
        <v>8180.76</v>
      </c>
      <c r="N79" t="str">
        <f t="shared" si="3"/>
        <v>Jun</v>
      </c>
      <c r="O79">
        <f t="shared" si="4"/>
        <v>6</v>
      </c>
      <c r="P79" s="2">
        <f t="shared" si="5"/>
        <v>0.32359321229381749</v>
      </c>
    </row>
    <row r="80" spans="1:16" x14ac:dyDescent="0.25">
      <c r="A80" t="s">
        <v>91</v>
      </c>
      <c r="B80" s="4">
        <v>46200.721518987339</v>
      </c>
      <c r="C80" t="s">
        <v>169</v>
      </c>
      <c r="D80" t="s">
        <v>171</v>
      </c>
      <c r="E80" t="s">
        <v>177</v>
      </c>
      <c r="F80" t="s">
        <v>179</v>
      </c>
      <c r="G80">
        <v>2</v>
      </c>
      <c r="H80">
        <v>13975</v>
      </c>
      <c r="I80">
        <v>0</v>
      </c>
      <c r="J80" t="s">
        <v>185</v>
      </c>
      <c r="K80">
        <v>27950</v>
      </c>
      <c r="L80">
        <v>18320.89</v>
      </c>
      <c r="M80">
        <v>9629.11</v>
      </c>
      <c r="N80" t="str">
        <f t="shared" si="3"/>
        <v>Jun</v>
      </c>
      <c r="O80">
        <f t="shared" si="4"/>
        <v>6</v>
      </c>
      <c r="P80" s="2">
        <f t="shared" si="5"/>
        <v>0.34451198568872987</v>
      </c>
    </row>
    <row r="81" spans="1:16" x14ac:dyDescent="0.25">
      <c r="A81" t="s">
        <v>92</v>
      </c>
      <c r="B81" s="4">
        <v>46203</v>
      </c>
      <c r="C81" t="s">
        <v>170</v>
      </c>
      <c r="D81" t="s">
        <v>171</v>
      </c>
      <c r="E81" t="s">
        <v>177</v>
      </c>
      <c r="F81" t="s">
        <v>180</v>
      </c>
      <c r="G81">
        <v>2</v>
      </c>
      <c r="H81">
        <v>13838</v>
      </c>
      <c r="I81">
        <v>15</v>
      </c>
      <c r="J81" t="s">
        <v>184</v>
      </c>
      <c r="K81">
        <v>23524.6</v>
      </c>
      <c r="L81">
        <v>18116.830000000002</v>
      </c>
      <c r="M81">
        <v>5407.77</v>
      </c>
      <c r="N81" t="str">
        <f t="shared" si="3"/>
        <v>Jun</v>
      </c>
      <c r="O81">
        <f t="shared" si="4"/>
        <v>6</v>
      </c>
      <c r="P81" s="2">
        <f t="shared" si="5"/>
        <v>0.22987723489453596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2026-09-18T00:21:58Z</dcterms:created>
  <dcterms:modified xsi:type="dcterms:W3CDTF">2026-09-23T04:08:10Z</dcterms:modified>
</cp:coreProperties>
</file>